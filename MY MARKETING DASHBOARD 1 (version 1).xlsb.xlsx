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26bb95d69a760fa/Documents/Excel Dashboard Projects/"/>
    </mc:Choice>
  </mc:AlternateContent>
  <xr:revisionPtr revIDLastSave="1" documentId="13_ncr:1_{55592349-EAC5-40E5-AC38-0928B376BD5D}" xr6:coauthVersionLast="47" xr6:coauthVersionMax="47" xr10:uidLastSave="{129C55BF-AAEB-42A1-B070-4DE37F8668AE}"/>
  <bookViews>
    <workbookView xWindow="-110" yWindow="-110" windowWidth="19420" windowHeight="10420" activeTab="1" xr2:uid="{9E9D124C-7389-472A-9E29-723A78A8BBB4}"/>
  </bookViews>
  <sheets>
    <sheet name="Customer analytics" sheetId="4" r:id="rId1"/>
    <sheet name="Marketing dataset" sheetId="3" r:id="rId2"/>
    <sheet name="digital_marketing_campaign_data" sheetId="2" r:id="rId3"/>
    <sheet name="MARKETING DASHBOARD SHEET" sheetId="1" r:id="rId4"/>
    <sheet name="CUSTOMER ANALYTICS DASHBOARD" sheetId="8" r:id="rId5"/>
    <sheet name=" Marketing  pivot sheet" sheetId="5" r:id="rId6"/>
    <sheet name="copy sheet for marketing analyt" sheetId="7" r:id="rId7"/>
    <sheet name="Customer PIVOT SHEET" sheetId="9" r:id="rId8"/>
    <sheet name="COPY SHEET FOR CUSTOMER ANALYTI" sheetId="10" r:id="rId9"/>
  </sheets>
  <definedNames>
    <definedName name="_xlchart.v2.0" hidden="1">'copy sheet for marketing analyt'!$B$16:$B$19</definedName>
    <definedName name="_xlchart.v2.1" hidden="1">'copy sheet for marketing analyt'!$C$16:$C$19</definedName>
    <definedName name="_xlchart.v2.2" hidden="1">'COPY SHEET FOR CUSTOMER ANALYTI'!$B$3:$B$6</definedName>
    <definedName name="_xlchart.v2.3" hidden="1">'COPY SHEET FOR CUSTOMER ANALYTI'!$C$3:$C$6</definedName>
    <definedName name="_xlchart.v2.4" hidden="1">'copy sheet for marketing analyt'!$B$16:$B$19</definedName>
    <definedName name="_xlchart.v2.5" hidden="1">'copy sheet for marketing analyt'!$C$16:$C$19</definedName>
    <definedName name="_xlchart.v2.6" hidden="1">'COPY SHEET FOR CUSTOMER ANALYTI'!$B$3:$B$6</definedName>
    <definedName name="_xlchart.v2.7" hidden="1">'COPY SHEET FOR CUSTOMER ANALYTI'!$C$3:$C$6</definedName>
    <definedName name="ExternalData_1" localSheetId="2" hidden="1">digital_marketing_campaign_data!$A$1:$U$319</definedName>
    <definedName name="ExternalData_2" localSheetId="1" hidden="1">'Marketing dataset'!$A$1:$M$319</definedName>
    <definedName name="ExternalData_3" localSheetId="0" hidden="1">'Customer analytics'!$A$1:$O$319</definedName>
    <definedName name="_xlnm.Print_Area" localSheetId="4">'CUSTOMER ANALYTICS DASHBOARD'!$F$11</definedName>
    <definedName name="_xlnm.Print_Area" localSheetId="3">'MARKETING DASHBOARD SHEET'!$E$8</definedName>
    <definedName name="Slicer_CampaignChannel">#N/A</definedName>
    <definedName name="Slicer_CampaignType">#N/A</definedName>
    <definedName name="Slicer_Gender">#N/A</definedName>
    <definedName name="Slicer_Income_Group">#N/A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7" i="4" l="1"/>
  <c r="H7" i="7"/>
  <c r="H6" i="7"/>
  <c r="J9" i="7"/>
  <c r="J8" i="7"/>
  <c r="J7" i="7"/>
  <c r="J6" i="7"/>
  <c r="J5" i="7"/>
  <c r="I9" i="7"/>
  <c r="I8" i="7"/>
  <c r="I7" i="7"/>
  <c r="I6" i="7"/>
  <c r="I5" i="7"/>
  <c r="H9" i="7"/>
  <c r="H8" i="7"/>
  <c r="H5" i="7"/>
  <c r="C6" i="10"/>
  <c r="C3" i="10"/>
  <c r="C4" i="10"/>
  <c r="C5" i="10"/>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J4" i="7"/>
  <c r="I4" i="7"/>
  <c r="C19" i="7"/>
  <c r="C18" i="7"/>
  <c r="C17" i="7"/>
  <c r="C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F5E34-881C-4C26-B15B-C5D2CAE6AC20}" keepAlive="1" name="Query - Customer analytics" description="Connection to the 'Customer analytics' query in the workbook." type="5" refreshedVersion="8" background="1" saveData="1">
    <dbPr connection="Provider=Microsoft.Mashup.OleDb.1;Data Source=$Workbook$;Location=&quot;Customer analytics&quot;;Extended Properties=&quot;&quot;" command="SELECT * FROM [Customer analytics]"/>
  </connection>
  <connection id="2" xr16:uid="{956D17D8-3EA7-483D-8A24-FEFEF69DD501}" keepAlive="1" name="Query - digital_marketing_campaign_data" description="Connection to the 'digital_marketing_campaign_data' query in the workbook." type="5" refreshedVersion="8" background="1" saveData="1">
    <dbPr connection="Provider=Microsoft.Mashup.OleDb.1;Data Source=$Workbook$;Location=digital_marketing_campaign_data;Extended Properties=&quot;&quot;" command="SELECT * FROM [digital_marketing_campaign_data]"/>
  </connection>
  <connection id="3" xr16:uid="{95D52948-F42D-4618-8751-7E6DAF9B2426}" keepAlive="1" name="Query - Marketing dataset" description="Connection to the 'Marketing dataset' query in the workbook." type="5" refreshedVersion="8" background="1" saveData="1">
    <dbPr connection="Provider=Microsoft.Mashup.OleDb.1;Data Source=$Workbook$;Location=&quot;Marketing dataset&quot;;Extended Properties=&quot;&quot;" command="SELECT * FROM [Marketing dataset]"/>
  </connection>
</connections>
</file>

<file path=xl/sharedStrings.xml><?xml version="1.0" encoding="utf-8"?>
<sst xmlns="http://schemas.openxmlformats.org/spreadsheetml/2006/main" count="3336" uniqueCount="83">
  <si>
    <t>CustomerID</t>
  </si>
  <si>
    <t>Age</t>
  </si>
  <si>
    <t>Gender</t>
  </si>
  <si>
    <t>Income</t>
  </si>
  <si>
    <t>CampaignChannel</t>
  </si>
  <si>
    <t>CampaignType</t>
  </si>
  <si>
    <t>AdSpend</t>
  </si>
  <si>
    <t>ClickThroughRate</t>
  </si>
  <si>
    <t>ConversionRate</t>
  </si>
  <si>
    <t>WebsiteVisits</t>
  </si>
  <si>
    <t>PagesPerVisit</t>
  </si>
  <si>
    <t>TimeOnSite</t>
  </si>
  <si>
    <t>SocialShares</t>
  </si>
  <si>
    <t>EmailOpens</t>
  </si>
  <si>
    <t>EmailClicks</t>
  </si>
  <si>
    <t>PreviousPurchases</t>
  </si>
  <si>
    <t>LoyaltyPoints</t>
  </si>
  <si>
    <t>AdvertisingPlatform</t>
  </si>
  <si>
    <t>AdvertisingTool</t>
  </si>
  <si>
    <t>Conversion</t>
  </si>
  <si>
    <t>CPA</t>
  </si>
  <si>
    <t>Female</t>
  </si>
  <si>
    <t>PPC</t>
  </si>
  <si>
    <t>IsConfid</t>
  </si>
  <si>
    <t>ToolConfid</t>
  </si>
  <si>
    <t>Referral</t>
  </si>
  <si>
    <t>Awareness</t>
  </si>
  <si>
    <t>Male</t>
  </si>
  <si>
    <t>Email</t>
  </si>
  <si>
    <t>SEO</t>
  </si>
  <si>
    <t>Consideration</t>
  </si>
  <si>
    <t>Social Media</t>
  </si>
  <si>
    <t>Retention</t>
  </si>
  <si>
    <t>Total ad spend</t>
  </si>
  <si>
    <t>Sum of Conversion</t>
  </si>
  <si>
    <t>Total Conversions</t>
  </si>
  <si>
    <t>Row Labels</t>
  </si>
  <si>
    <t>Grand Total</t>
  </si>
  <si>
    <t>Total Ad spend</t>
  </si>
  <si>
    <t>Sum of WebsiteVisits</t>
  </si>
  <si>
    <t>Sum of EmailOpens</t>
  </si>
  <si>
    <t>Sum of EmailClicks</t>
  </si>
  <si>
    <t>STAGE</t>
  </si>
  <si>
    <t>TOTAL</t>
  </si>
  <si>
    <t>Website Visits</t>
  </si>
  <si>
    <t>Email Opens</t>
  </si>
  <si>
    <t>Email Clicks</t>
  </si>
  <si>
    <t>Conversions</t>
  </si>
  <si>
    <t>Sum of Blended CPA</t>
  </si>
  <si>
    <t>Income Group</t>
  </si>
  <si>
    <t>Average of ConversionRate</t>
  </si>
  <si>
    <t>Sum of ORIGINAL CPA</t>
  </si>
  <si>
    <t>CPA ($)</t>
  </si>
  <si>
    <t>Time on Site Group</t>
  </si>
  <si>
    <t>Count of CustomerID</t>
  </si>
  <si>
    <t>Average of PagesPerVisit</t>
  </si>
  <si>
    <t>Average of TimeOnSite</t>
  </si>
  <si>
    <t>Average of LoyaltyPoints</t>
  </si>
  <si>
    <t>High</t>
  </si>
  <si>
    <t>Low</t>
  </si>
  <si>
    <t>Mid</t>
  </si>
  <si>
    <t>0-3</t>
  </si>
  <si>
    <t>3-6</t>
  </si>
  <si>
    <t>6-9</t>
  </si>
  <si>
    <t>9-12</t>
  </si>
  <si>
    <t>12-15</t>
  </si>
  <si>
    <t>18-21</t>
  </si>
  <si>
    <t>22-25</t>
  </si>
  <si>
    <t>26-29</t>
  </si>
  <si>
    <t>30-33</t>
  </si>
  <si>
    <t>34-37</t>
  </si>
  <si>
    <t>38-41</t>
  </si>
  <si>
    <t>42-45</t>
  </si>
  <si>
    <t>46-49</t>
  </si>
  <si>
    <t>50-53</t>
  </si>
  <si>
    <t>54-57</t>
  </si>
  <si>
    <t>58-61</t>
  </si>
  <si>
    <t>62-65</t>
  </si>
  <si>
    <t>66-69</t>
  </si>
  <si>
    <t>Total Customers</t>
  </si>
  <si>
    <t>Avg Time on Site</t>
  </si>
  <si>
    <t>Age Group</t>
  </si>
  <si>
    <t>Average of AdSpend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</si>
</sst>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quot;K&quot;"/>
    <numFmt numFmtId="165" formatCode="0.0"/>
    <numFmt numFmtId="166" formatCode="#,##0.00,\ &quot;K&quot;"/>
    <numFmt numFmtId="167" formatCode="\$#,##0.00,\ &quot;K&quot;"/>
    <numFmt numFmtId="168" formatCode="0.0%"/>
    <numFmt numFmtId="169" formatCode="\$#0.00,,&quot;M&quot;"/>
  </numFmts>
  <fonts count="4" x14ac:knownFonts="1">
    <font>
      <sz val="11"/>
      <color theme="1"/>
      <name val="Calibri"/>
      <family val="2"/>
      <scheme val="minor"/>
    </font>
    <font>
      <b/>
      <sz val="11"/>
      <color theme="1"/>
      <name val="Calibri"/>
      <family val="2"/>
      <scheme val="minor"/>
    </font>
    <font>
      <b/>
      <sz val="20"/>
      <color theme="1"/>
      <name val="Calibri"/>
      <family val="2"/>
      <scheme val="minor"/>
    </font>
    <font>
      <sz val="8"/>
      <name val="Calibri"/>
      <family val="2"/>
      <scheme val="minor"/>
    </font>
  </fonts>
  <fills count="5">
    <fill>
      <patternFill patternType="none"/>
    </fill>
    <fill>
      <patternFill patternType="gray125"/>
    </fill>
    <fill>
      <patternFill patternType="solid">
        <fgColor rgb="FFA4FAAE"/>
        <bgColor indexed="64"/>
      </patternFill>
    </fill>
    <fill>
      <patternFill patternType="solid">
        <fgColor rgb="FF00B05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2" borderId="0" xfId="0" applyFill="1"/>
    <xf numFmtId="0" fontId="0" fillId="3" borderId="0" xfId="0" applyFill="1"/>
    <xf numFmtId="0" fontId="1" fillId="4" borderId="1" xfId="0" applyFont="1" applyFill="1" applyBorder="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pivotButton="1" applyFont="1"/>
    <xf numFmtId="166" fontId="2" fillId="0" borderId="0" xfId="0" applyNumberFormat="1" applyFont="1"/>
    <xf numFmtId="167" fontId="0" fillId="0" borderId="0" xfId="0" applyNumberFormat="1"/>
    <xf numFmtId="168" fontId="0" fillId="0" borderId="0" xfId="0" applyNumberFormat="1"/>
    <xf numFmtId="10" fontId="0" fillId="0" borderId="0" xfId="0" applyNumberFormat="1"/>
    <xf numFmtId="169" fontId="0" fillId="0" borderId="0" xfId="0" applyNumberFormat="1"/>
    <xf numFmtId="2" fontId="0" fillId="0" borderId="0" xfId="0" applyNumberFormat="1"/>
  </cellXfs>
  <cellStyles count="1">
    <cellStyle name="Normal" xfId="0" builtinId="0"/>
  </cellStyles>
  <dxfs count="19">
    <dxf>
      <numFmt numFmtId="2" formatCode="0.00"/>
    </dxf>
    <dxf>
      <numFmt numFmtId="2" formatCode="0.00"/>
    </dxf>
    <dxf>
      <numFmt numFmtId="167" formatCode="\$#,##0.00,\ &quot;K&quot;"/>
    </dxf>
    <dxf>
      <font>
        <b/>
      </font>
    </dxf>
    <dxf>
      <font>
        <sz val="20"/>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s>
  <tableStyles count="1" defaultTableStyle="TableStyleMedium2" defaultPivotStyle="PivotStyleLight16">
    <tableStyle name="Slicer Style 1" pivot="0" table="0" count="2" xr9:uid="{B95C296D-85DC-46EC-9ADD-0E8E64D88DF9}">
      <tableStyleElement type="wholeTable" dxfId="18"/>
    </tableStyle>
  </tableStyles>
  <colors>
    <mruColors>
      <color rgb="FF780F0A"/>
      <color rgb="FF6AF692"/>
      <color rgb="FFA4FAAE"/>
      <color rgb="FF99FDB1"/>
      <color rgb="FF92F8AF"/>
      <color rgb="FFE0FCD0"/>
      <color rgb="FFE5FCD8"/>
      <color rgb="FFB4FAC8"/>
      <color rgb="FFA6F995"/>
    </mruColors>
  </colors>
  <extLst>
    <ext xmlns:x14="http://schemas.microsoft.com/office/spreadsheetml/2009/9/main" uri="{46F421CA-312F-682f-3DD2-61675219B42D}">
      <x14:dxfs count="1">
        <dxf>
          <fill>
            <patternFill>
              <bgColor rgb="FFE5FCD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microsoft.com/office/2017/10/relationships/person" Target="persons/person2.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microsoft.com/office/2017/10/relationships/person" Target="persons/pers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0.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 Marketing  pivot sheet!PivotTable37</c:name>
    <c:fmtId val="2"/>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80F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80F0A"/>
            </a:solidFill>
            <a:round/>
          </a:ln>
          <a:effectLst/>
        </c:spPr>
        <c:marker>
          <c:symbol val="none"/>
        </c:marker>
      </c:pivotFmt>
      <c:pivotFmt>
        <c:idx val="3"/>
        <c:spPr>
          <a:solidFill>
            <a:schemeClr val="accent1"/>
          </a:solidFill>
          <a:ln w="28575" cap="rnd">
            <a:solidFill>
              <a:srgbClr val="780F0A"/>
            </a:solidFill>
            <a:round/>
          </a:ln>
          <a:effectLst/>
        </c:spPr>
        <c:marker>
          <c:symbol val="none"/>
        </c:marker>
      </c:pivotFmt>
      <c:pivotFmt>
        <c:idx val="4"/>
        <c:spPr>
          <a:solidFill>
            <a:schemeClr val="accent1"/>
          </a:solidFill>
          <a:ln w="28575" cap="rnd">
            <a:solidFill>
              <a:srgbClr val="780F0A"/>
            </a:solidFill>
            <a:round/>
          </a:ln>
          <a:effectLst/>
        </c:spPr>
        <c:marker>
          <c:symbol val="none"/>
        </c:marke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80F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80F0A"/>
            </a:solidFill>
            <a:round/>
          </a:ln>
          <a:effectLst/>
        </c:spPr>
        <c:marker>
          <c:symbol val="none"/>
        </c:marke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20000"/>
                <a:lumOff val="80000"/>
                <a:alpha val="81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20000"/>
                <a:lumOff val="80000"/>
                <a:alpha val="81000"/>
              </a:schemeClr>
            </a:solidFill>
            <a:round/>
          </a:ln>
          <a:effectLst/>
        </c:spPr>
        <c:marker>
          <c:symbol val="none"/>
        </c:marker>
      </c:pivotFmt>
    </c:pivotFmts>
    <c:plotArea>
      <c:layout>
        <c:manualLayout>
          <c:layoutTarget val="inner"/>
          <c:xMode val="edge"/>
          <c:yMode val="edge"/>
          <c:x val="0.16401792517870747"/>
          <c:y val="7.8881369167697002E-2"/>
          <c:w val="0.69702021118327939"/>
          <c:h val="0.58076918071191508"/>
        </c:manualLayout>
      </c:layout>
      <c:barChart>
        <c:barDir val="col"/>
        <c:grouping val="clustered"/>
        <c:varyColors val="0"/>
        <c:ser>
          <c:idx val="0"/>
          <c:order val="0"/>
          <c:tx>
            <c:strRef>
              <c:f>' Marketing  pivot sheet'!$Q$5</c:f>
              <c:strCache>
                <c:ptCount val="1"/>
                <c:pt idx="0">
                  <c:v>Sum of WebsiteVisits</c:v>
                </c:pt>
              </c:strCache>
            </c:strRef>
          </c:tx>
          <c:spPr>
            <a:solidFill>
              <a:srgbClr val="00B050"/>
            </a:solidFill>
            <a:ln>
              <a:noFill/>
            </a:ln>
            <a:effectLst/>
          </c:spPr>
          <c:invertIfNegative val="0"/>
          <c:cat>
            <c:strRef>
              <c:f>' Marketing  pivot sheet'!$P$6:$P$11</c:f>
              <c:strCache>
                <c:ptCount val="5"/>
                <c:pt idx="0">
                  <c:v>Email</c:v>
                </c:pt>
                <c:pt idx="1">
                  <c:v>PPC</c:v>
                </c:pt>
                <c:pt idx="2">
                  <c:v>Social Media</c:v>
                </c:pt>
                <c:pt idx="3">
                  <c:v>SEO</c:v>
                </c:pt>
                <c:pt idx="4">
                  <c:v>Referral</c:v>
                </c:pt>
              </c:strCache>
            </c:strRef>
          </c:cat>
          <c:val>
            <c:numRef>
              <c:f>' Marketing  pivot sheet'!$Q$6:$Q$11</c:f>
              <c:numCache>
                <c:formatCode>General</c:formatCode>
                <c:ptCount val="5"/>
                <c:pt idx="0">
                  <c:v>1765</c:v>
                </c:pt>
                <c:pt idx="1">
                  <c:v>1694</c:v>
                </c:pt>
                <c:pt idx="2">
                  <c:v>1669</c:v>
                </c:pt>
                <c:pt idx="3">
                  <c:v>1589</c:v>
                </c:pt>
                <c:pt idx="4">
                  <c:v>1309</c:v>
                </c:pt>
              </c:numCache>
            </c:numRef>
          </c:val>
          <c:extLst>
            <c:ext xmlns:c16="http://schemas.microsoft.com/office/drawing/2014/chart" uri="{C3380CC4-5D6E-409C-BE32-E72D297353CC}">
              <c16:uniqueId val="{00000000-4071-4348-BDCB-261E197355E6}"/>
            </c:ext>
          </c:extLst>
        </c:ser>
        <c:dLbls>
          <c:showLegendKey val="0"/>
          <c:showVal val="0"/>
          <c:showCatName val="0"/>
          <c:showSerName val="0"/>
          <c:showPercent val="0"/>
          <c:showBubbleSize val="0"/>
        </c:dLbls>
        <c:gapWidth val="219"/>
        <c:overlap val="-27"/>
        <c:axId val="33754767"/>
        <c:axId val="33715407"/>
      </c:barChart>
      <c:lineChart>
        <c:grouping val="standard"/>
        <c:varyColors val="0"/>
        <c:ser>
          <c:idx val="1"/>
          <c:order val="1"/>
          <c:tx>
            <c:strRef>
              <c:f>' Marketing  pivot sheet'!$R$5</c:f>
              <c:strCache>
                <c:ptCount val="1"/>
                <c:pt idx="0">
                  <c:v>Sum of Conversion</c:v>
                </c:pt>
              </c:strCache>
            </c:strRef>
          </c:tx>
          <c:spPr>
            <a:ln w="28575" cap="rnd">
              <a:solidFill>
                <a:schemeClr val="accent6">
                  <a:lumMod val="20000"/>
                  <a:lumOff val="80000"/>
                  <a:alpha val="81000"/>
                </a:schemeClr>
              </a:solidFill>
              <a:round/>
            </a:ln>
            <a:effectLst/>
          </c:spPr>
          <c:marker>
            <c:symbol val="none"/>
          </c:marker>
          <c:dPt>
            <c:idx val="0"/>
            <c:marker>
              <c:symbol val="none"/>
            </c:marker>
            <c:bubble3D val="0"/>
            <c:spPr>
              <a:ln w="28575" cap="rnd">
                <a:solidFill>
                  <a:schemeClr val="accent6">
                    <a:lumMod val="20000"/>
                    <a:lumOff val="80000"/>
                    <a:alpha val="81000"/>
                  </a:schemeClr>
                </a:solidFill>
                <a:round/>
              </a:ln>
              <a:effectLst/>
            </c:spPr>
            <c:extLst>
              <c:ext xmlns:c16="http://schemas.microsoft.com/office/drawing/2014/chart" uri="{C3380CC4-5D6E-409C-BE32-E72D297353CC}">
                <c16:uniqueId val="{00000002-4071-4348-BDCB-261E197355E6}"/>
              </c:ext>
            </c:extLst>
          </c:dPt>
          <c:cat>
            <c:strRef>
              <c:f>' Marketing  pivot sheet'!$P$6:$P$11</c:f>
              <c:strCache>
                <c:ptCount val="5"/>
                <c:pt idx="0">
                  <c:v>Email</c:v>
                </c:pt>
                <c:pt idx="1">
                  <c:v>PPC</c:v>
                </c:pt>
                <c:pt idx="2">
                  <c:v>Social Media</c:v>
                </c:pt>
                <c:pt idx="3">
                  <c:v>SEO</c:v>
                </c:pt>
                <c:pt idx="4">
                  <c:v>Referral</c:v>
                </c:pt>
              </c:strCache>
            </c:strRef>
          </c:cat>
          <c:val>
            <c:numRef>
              <c:f>' Marketing  pivot sheet'!$R$6:$R$11</c:f>
              <c:numCache>
                <c:formatCode>General</c:formatCode>
                <c:ptCount val="5"/>
                <c:pt idx="0">
                  <c:v>62</c:v>
                </c:pt>
                <c:pt idx="1">
                  <c:v>60</c:v>
                </c:pt>
                <c:pt idx="2">
                  <c:v>63</c:v>
                </c:pt>
                <c:pt idx="3">
                  <c:v>58</c:v>
                </c:pt>
                <c:pt idx="4">
                  <c:v>52</c:v>
                </c:pt>
              </c:numCache>
            </c:numRef>
          </c:val>
          <c:smooth val="1"/>
          <c:extLst>
            <c:ext xmlns:c16="http://schemas.microsoft.com/office/drawing/2014/chart" uri="{C3380CC4-5D6E-409C-BE32-E72D297353CC}">
              <c16:uniqueId val="{00000003-4071-4348-BDCB-261E197355E6}"/>
            </c:ext>
          </c:extLst>
        </c:ser>
        <c:dLbls>
          <c:showLegendKey val="0"/>
          <c:showVal val="0"/>
          <c:showCatName val="0"/>
          <c:showSerName val="0"/>
          <c:showPercent val="0"/>
          <c:showBubbleSize val="0"/>
        </c:dLbls>
        <c:marker val="1"/>
        <c:smooth val="0"/>
        <c:axId val="1079582175"/>
        <c:axId val="1079576415"/>
      </c:lineChart>
      <c:catAx>
        <c:axId val="33754767"/>
        <c:scaling>
          <c:orientation val="minMax"/>
        </c:scaling>
        <c:delete val="0"/>
        <c:axPos val="b"/>
        <c:numFmt formatCode="General" sourceLinked="1"/>
        <c:majorTickMark val="none"/>
        <c:minorTickMark val="none"/>
        <c:tickLblPos val="nextTo"/>
        <c:spPr>
          <a:noFill/>
          <a:ln w="9525" cap="flat" cmpd="sng" algn="ctr">
            <a:solidFill>
              <a:schemeClr val="accent6">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5407"/>
        <c:crosses val="autoZero"/>
        <c:auto val="1"/>
        <c:lblAlgn val="ctr"/>
        <c:lblOffset val="100"/>
        <c:noMultiLvlLbl val="0"/>
      </c:catAx>
      <c:valAx>
        <c:axId val="33715407"/>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Website</a:t>
                </a:r>
                <a:r>
                  <a:rPr lang="en-US" sz="800" baseline="0"/>
                  <a:t> </a:t>
                </a:r>
                <a:r>
                  <a:rPr lang="en-US" sz="800"/>
                  <a:t>Visits</a:t>
                </a:r>
              </a:p>
            </c:rich>
          </c:tx>
          <c:layout>
            <c:manualLayout>
              <c:xMode val="edge"/>
              <c:yMode val="edge"/>
              <c:x val="3.0314960629921261E-3"/>
              <c:y val="0.2033591462224246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4767"/>
        <c:crosses val="autoZero"/>
        <c:crossBetween val="between"/>
      </c:valAx>
      <c:valAx>
        <c:axId val="1079576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Conversions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582175"/>
        <c:crosses val="max"/>
        <c:crossBetween val="between"/>
      </c:valAx>
      <c:catAx>
        <c:axId val="1079582175"/>
        <c:scaling>
          <c:orientation val="minMax"/>
        </c:scaling>
        <c:delete val="1"/>
        <c:axPos val="b"/>
        <c:numFmt formatCode="General" sourceLinked="1"/>
        <c:majorTickMark val="out"/>
        <c:minorTickMark val="none"/>
        <c:tickLblPos val="nextTo"/>
        <c:crossAx val="1079576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 Marketing  pivot sheet!PivotTable36</c:name>
    <c:fmtId val="1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4FA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4FA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4788185413476"/>
          <c:y val="0.15101851851851855"/>
          <c:w val="0.7629967577582214"/>
          <c:h val="0.79805555555555552"/>
        </c:manualLayout>
      </c:layout>
      <c:barChart>
        <c:barDir val="bar"/>
        <c:grouping val="clustered"/>
        <c:varyColors val="0"/>
        <c:ser>
          <c:idx val="0"/>
          <c:order val="0"/>
          <c:tx>
            <c:strRef>
              <c:f>' Marketing  pivot sheet'!$G$22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Marketing  pivot sheet'!$F$23:$F$28</c:f>
              <c:strCache>
                <c:ptCount val="5"/>
                <c:pt idx="0">
                  <c:v>Social Media</c:v>
                </c:pt>
                <c:pt idx="1">
                  <c:v>Email</c:v>
                </c:pt>
                <c:pt idx="2">
                  <c:v>SEO</c:v>
                </c:pt>
                <c:pt idx="3">
                  <c:v>PPC</c:v>
                </c:pt>
                <c:pt idx="4">
                  <c:v>Referral</c:v>
                </c:pt>
              </c:strCache>
            </c:strRef>
          </c:cat>
          <c:val>
            <c:numRef>
              <c:f>' Marketing  pivot sheet'!$G$23:$G$28</c:f>
              <c:numCache>
                <c:formatCode>0.0</c:formatCode>
                <c:ptCount val="5"/>
                <c:pt idx="0">
                  <c:v>4667.3196825396835</c:v>
                </c:pt>
                <c:pt idx="1">
                  <c:v>4970.5037096774213</c:v>
                </c:pt>
                <c:pt idx="2">
                  <c:v>5184.462586206896</c:v>
                </c:pt>
                <c:pt idx="3">
                  <c:v>5441.0188333333317</c:v>
                </c:pt>
                <c:pt idx="4">
                  <c:v>5598.499230769231</c:v>
                </c:pt>
              </c:numCache>
            </c:numRef>
          </c:val>
          <c:extLst>
            <c:ext xmlns:c16="http://schemas.microsoft.com/office/drawing/2014/chart" uri="{C3380CC4-5D6E-409C-BE32-E72D297353CC}">
              <c16:uniqueId val="{00000000-8461-498D-A5DD-60E309A522BE}"/>
            </c:ext>
          </c:extLst>
        </c:ser>
        <c:dLbls>
          <c:dLblPos val="inEnd"/>
          <c:showLegendKey val="0"/>
          <c:showVal val="1"/>
          <c:showCatName val="0"/>
          <c:showSerName val="0"/>
          <c:showPercent val="0"/>
          <c:showBubbleSize val="0"/>
        </c:dLbls>
        <c:gapWidth val="92"/>
        <c:overlap val="-100"/>
        <c:axId val="33739407"/>
        <c:axId val="33724047"/>
      </c:barChart>
      <c:catAx>
        <c:axId val="337394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4047"/>
        <c:crosses val="autoZero"/>
        <c:auto val="1"/>
        <c:lblAlgn val="ctr"/>
        <c:lblOffset val="50"/>
        <c:tickLblSkip val="1"/>
        <c:noMultiLvlLbl val="0"/>
      </c:catAx>
      <c:valAx>
        <c:axId val="33724047"/>
        <c:scaling>
          <c:orientation val="minMax"/>
        </c:scaling>
        <c:delete val="1"/>
        <c:axPos val="b"/>
        <c:numFmt formatCode="0.0" sourceLinked="1"/>
        <c:majorTickMark val="none"/>
        <c:minorTickMark val="none"/>
        <c:tickLblPos val="nextTo"/>
        <c:crossAx val="3373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'copy sheet for marketing analyt'!$H$4</c:f>
              <c:strCache>
                <c:ptCount val="1"/>
                <c:pt idx="0">
                  <c:v>Total Ad spend</c:v>
                </c:pt>
              </c:strCache>
            </c:strRef>
          </c:tx>
          <c:spPr>
            <a:solidFill>
              <a:srgbClr val="00B050"/>
            </a:solidFill>
            <a:ln>
              <a:noFill/>
            </a:ln>
            <a:effectLst/>
          </c:spPr>
          <c:invertIfNegative val="0"/>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5AD2-49C5-AC74-4222F380921E}"/>
              </c:ext>
            </c:extLst>
          </c:dPt>
          <c:dLbls>
            <c:dLbl>
              <c:idx val="0"/>
              <c:tx>
                <c:rich>
                  <a:bodyPr/>
                  <a:lstStyle/>
                  <a:p>
                    <a:fld id="{1F153EFC-09D3-49B7-AF8B-855BBCE956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AD2-49C5-AC74-4222F380921E}"/>
                </c:ext>
              </c:extLst>
            </c:dLbl>
            <c:dLbl>
              <c:idx val="1"/>
              <c:tx>
                <c:rich>
                  <a:bodyPr/>
                  <a:lstStyle/>
                  <a:p>
                    <a:fld id="{4A3E594A-3F77-494D-9F1A-588829A2EF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AD2-49C5-AC74-4222F380921E}"/>
                </c:ext>
              </c:extLst>
            </c:dLbl>
            <c:dLbl>
              <c:idx val="2"/>
              <c:tx>
                <c:rich>
                  <a:bodyPr/>
                  <a:lstStyle/>
                  <a:p>
                    <a:fld id="{3309324F-4DFA-413A-AB4E-3564F92C06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AD2-49C5-AC74-4222F380921E}"/>
                </c:ext>
              </c:extLst>
            </c:dLbl>
            <c:dLbl>
              <c:idx val="3"/>
              <c:tx>
                <c:rich>
                  <a:bodyPr/>
                  <a:lstStyle/>
                  <a:p>
                    <a:fld id="{D153F17A-ADE7-4C71-9C61-5E9757F609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AD2-49C5-AC74-4222F380921E}"/>
                </c:ext>
              </c:extLst>
            </c:dLbl>
            <c:dLbl>
              <c:idx val="4"/>
              <c:tx>
                <c:rich>
                  <a:bodyPr/>
                  <a:lstStyle/>
                  <a:p>
                    <a:fld id="{4B3A162D-CD0B-44A0-BE2B-52D723058F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AD2-49C5-AC74-4222F38092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'copy sheet for marketing analyt'!$G$5:$G$9</c:f>
              <c:strCache>
                <c:ptCount val="5"/>
                <c:pt idx="0">
                  <c:v>Email</c:v>
                </c:pt>
                <c:pt idx="1">
                  <c:v>PPC</c:v>
                </c:pt>
                <c:pt idx="2">
                  <c:v>Referral</c:v>
                </c:pt>
                <c:pt idx="3">
                  <c:v>SEO</c:v>
                </c:pt>
                <c:pt idx="4">
                  <c:v>Social Media</c:v>
                </c:pt>
              </c:strCache>
            </c:strRef>
          </c:xVal>
          <c:yVal>
            <c:numRef>
              <c:f>'copy sheet for marketing analyt'!$H$5:$H$9</c:f>
              <c:numCache>
                <c:formatCode>0</c:formatCode>
                <c:ptCount val="5"/>
                <c:pt idx="0">
                  <c:v>308171.2300000001</c:v>
                </c:pt>
                <c:pt idx="1">
                  <c:v>326461.12999999989</c:v>
                </c:pt>
                <c:pt idx="2">
                  <c:v>291121.96000000002</c:v>
                </c:pt>
                <c:pt idx="3">
                  <c:v>300698.82999999996</c:v>
                </c:pt>
                <c:pt idx="4">
                  <c:v>294041.14000000007</c:v>
                </c:pt>
              </c:numCache>
            </c:numRef>
          </c:yVal>
          <c:bubbleSize>
            <c:numRef>
              <c:f>'copy sheet for marketing analyt'!$I$5:$I$9</c:f>
              <c:numCache>
                <c:formatCode>0.0</c:formatCode>
                <c:ptCount val="5"/>
                <c:pt idx="0">
                  <c:v>62</c:v>
                </c:pt>
                <c:pt idx="1">
                  <c:v>60</c:v>
                </c:pt>
                <c:pt idx="2">
                  <c:v>52</c:v>
                </c:pt>
                <c:pt idx="3">
                  <c:v>58</c:v>
                </c:pt>
                <c:pt idx="4">
                  <c:v>63</c:v>
                </c:pt>
              </c:numCache>
            </c:numRef>
          </c:bubbleSize>
          <c:bubble3D val="0"/>
          <c:extLst>
            <c:ext xmlns:c15="http://schemas.microsoft.com/office/drawing/2012/chart" uri="{02D57815-91ED-43cb-92C2-25804820EDAC}">
              <c15:datalabelsRange>
                <c15:f>'copy sheet for marketing analyt'!$G$5:$G$9</c15:f>
                <c15:dlblRangeCache>
                  <c:ptCount val="5"/>
                  <c:pt idx="0">
                    <c:v>Email</c:v>
                  </c:pt>
                  <c:pt idx="1">
                    <c:v>PPC</c:v>
                  </c:pt>
                  <c:pt idx="2">
                    <c:v>Referral</c:v>
                  </c:pt>
                  <c:pt idx="3">
                    <c:v>SEO</c:v>
                  </c:pt>
                  <c:pt idx="4">
                    <c:v>Social Media</c:v>
                  </c:pt>
                </c15:dlblRangeCache>
              </c15:datalabelsRange>
            </c:ext>
            <c:ext xmlns:c16="http://schemas.microsoft.com/office/drawing/2014/chart" uri="{C3380CC4-5D6E-409C-BE32-E72D297353CC}">
              <c16:uniqueId val="{00000006-5AD2-49C5-AC74-4222F380921E}"/>
            </c:ext>
          </c:extLst>
        </c:ser>
        <c:ser>
          <c:idx val="1"/>
          <c:order val="1"/>
          <c:tx>
            <c:strRef>
              <c:f>'copy sheet for marketing analyt'!$J$4</c:f>
              <c:strCache>
                <c:ptCount val="1"/>
                <c:pt idx="0">
                  <c:v>Average of ConversionRate</c:v>
                </c:pt>
              </c:strCache>
            </c:strRef>
          </c:tx>
          <c:spPr>
            <a:solidFill>
              <a:srgbClr val="6AF69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'copy sheet for marketing analyt'!$G$5:$G$9</c:f>
              <c:strCache>
                <c:ptCount val="5"/>
                <c:pt idx="0">
                  <c:v>Email</c:v>
                </c:pt>
                <c:pt idx="1">
                  <c:v>PPC</c:v>
                </c:pt>
                <c:pt idx="2">
                  <c:v>Referral</c:v>
                </c:pt>
                <c:pt idx="3">
                  <c:v>SEO</c:v>
                </c:pt>
                <c:pt idx="4">
                  <c:v>Social Media</c:v>
                </c:pt>
              </c:strCache>
            </c:strRef>
          </c:xVal>
          <c:yVal>
            <c:numRef>
              <c:f>'copy sheet for marketing analyt'!$J$5:$J$9</c:f>
              <c:numCache>
                <c:formatCode>0.00%</c:formatCode>
                <c:ptCount val="5"/>
                <c:pt idx="0">
                  <c:v>0.10720588235294121</c:v>
                </c:pt>
                <c:pt idx="1">
                  <c:v>9.6521739130434783E-2</c:v>
                </c:pt>
                <c:pt idx="2">
                  <c:v>0.10226415094339622</c:v>
                </c:pt>
                <c:pt idx="3">
                  <c:v>0.10870967741935482</c:v>
                </c:pt>
                <c:pt idx="4">
                  <c:v>0.11212121212121214</c:v>
                </c:pt>
              </c:numCache>
            </c:numRef>
          </c:yVal>
          <c:bubbleSize>
            <c:numLit>
              <c:formatCode>General</c:formatCode>
              <c:ptCount val="5"/>
              <c:pt idx="0">
                <c:v>1</c:v>
              </c:pt>
              <c:pt idx="1">
                <c:v>1</c:v>
              </c:pt>
              <c:pt idx="2">
                <c:v>1</c:v>
              </c:pt>
              <c:pt idx="3">
                <c:v>1</c:v>
              </c:pt>
              <c:pt idx="4">
                <c:v>1</c:v>
              </c:pt>
            </c:numLit>
          </c:bubbleSize>
          <c:bubble3D val="0"/>
          <c:extLst>
            <c:ext xmlns:c16="http://schemas.microsoft.com/office/drawing/2014/chart" uri="{C3380CC4-5D6E-409C-BE32-E72D297353CC}">
              <c16:uniqueId val="{00000007-5AD2-49C5-AC74-4222F380921E}"/>
            </c:ext>
          </c:extLst>
        </c:ser>
        <c:dLbls>
          <c:dLblPos val="t"/>
          <c:showLegendKey val="0"/>
          <c:showVal val="1"/>
          <c:showCatName val="0"/>
          <c:showSerName val="0"/>
          <c:showPercent val="0"/>
          <c:showBubbleSize val="0"/>
        </c:dLbls>
        <c:bubbleScale val="100"/>
        <c:showNegBubbles val="0"/>
        <c:axId val="343819872"/>
        <c:axId val="343823232"/>
      </c:bubbleChart>
      <c:valAx>
        <c:axId val="34381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Total Ad</a:t>
                </a:r>
                <a:r>
                  <a:rPr lang="en-US" sz="900" baseline="0"/>
                  <a:t> Spend</a:t>
                </a:r>
                <a:endParaRPr lang="en-US" sz="9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23232"/>
        <c:crosses val="autoZero"/>
        <c:crossBetween val="midCat"/>
      </c:valAx>
      <c:valAx>
        <c:axId val="34382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Conversion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19872"/>
        <c:crosses val="autoZero"/>
        <c:crossBetween val="midCat"/>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SHEET!PivotTable30</c:name>
    <c:fmtId val="9"/>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4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4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4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2931152725937"/>
          <c:y val="4.0740740740740744E-2"/>
          <c:w val="0.83627246194385274"/>
          <c:h val="0.8666666666666667"/>
        </c:manualLayout>
      </c:layout>
      <c:barChart>
        <c:barDir val="bar"/>
        <c:grouping val="stacked"/>
        <c:varyColors val="0"/>
        <c:ser>
          <c:idx val="0"/>
          <c:order val="0"/>
          <c:tx>
            <c:strRef>
              <c:f>'Customer PIVOT SHEET'!$W$3</c:f>
              <c:strCache>
                <c:ptCount val="1"/>
                <c:pt idx="0">
                  <c:v>Total Customers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SHEET'!$W$4:$W$16</c:f>
              <c:numCache>
                <c:formatCode>General</c:formatCode>
                <c:ptCount val="13"/>
                <c:pt idx="0">
                  <c:v>14</c:v>
                </c:pt>
                <c:pt idx="1">
                  <c:v>18</c:v>
                </c:pt>
                <c:pt idx="2">
                  <c:v>19</c:v>
                </c:pt>
                <c:pt idx="3">
                  <c:v>21</c:v>
                </c:pt>
                <c:pt idx="4">
                  <c:v>23</c:v>
                </c:pt>
                <c:pt idx="5">
                  <c:v>24</c:v>
                </c:pt>
                <c:pt idx="6">
                  <c:v>25</c:v>
                </c:pt>
                <c:pt idx="7">
                  <c:v>27</c:v>
                </c:pt>
                <c:pt idx="8">
                  <c:v>28</c:v>
                </c:pt>
                <c:pt idx="9">
                  <c:v>28</c:v>
                </c:pt>
                <c:pt idx="10">
                  <c:v>28</c:v>
                </c:pt>
                <c:pt idx="11">
                  <c:v>31</c:v>
                </c:pt>
                <c:pt idx="12">
                  <c:v>32</c:v>
                </c:pt>
              </c:numCache>
            </c:numRef>
          </c:val>
          <c:extLst>
            <c:ext xmlns:c16="http://schemas.microsoft.com/office/drawing/2014/chart" uri="{C3380CC4-5D6E-409C-BE32-E72D297353CC}">
              <c16:uniqueId val="{00000000-0ED6-4D86-B493-036CBCB7B66D}"/>
            </c:ext>
          </c:extLst>
        </c:ser>
        <c:ser>
          <c:idx val="1"/>
          <c:order val="1"/>
          <c:tx>
            <c:strRef>
              <c:f>'Customer PIVOT SHEET'!$X$3</c:f>
              <c:strCache>
                <c:ptCount val="1"/>
                <c:pt idx="0">
                  <c:v>Total Conversions</c:v>
                </c:pt>
              </c:strCache>
            </c:strRef>
          </c:tx>
          <c:spPr>
            <a:solidFill>
              <a:schemeClr val="accent6">
                <a:alpha val="4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SHEET'!$X$4:$X$16</c:f>
              <c:numCache>
                <c:formatCode>General</c:formatCode>
                <c:ptCount val="13"/>
                <c:pt idx="0">
                  <c:v>13</c:v>
                </c:pt>
                <c:pt idx="1">
                  <c:v>15</c:v>
                </c:pt>
                <c:pt idx="2">
                  <c:v>17</c:v>
                </c:pt>
                <c:pt idx="3">
                  <c:v>21</c:v>
                </c:pt>
                <c:pt idx="4">
                  <c:v>22</c:v>
                </c:pt>
                <c:pt idx="5">
                  <c:v>23</c:v>
                </c:pt>
                <c:pt idx="6">
                  <c:v>25</c:v>
                </c:pt>
                <c:pt idx="7">
                  <c:v>25</c:v>
                </c:pt>
                <c:pt idx="8">
                  <c:v>26</c:v>
                </c:pt>
                <c:pt idx="9">
                  <c:v>24</c:v>
                </c:pt>
                <c:pt idx="10">
                  <c:v>24</c:v>
                </c:pt>
                <c:pt idx="11">
                  <c:v>29</c:v>
                </c:pt>
                <c:pt idx="12">
                  <c:v>31</c:v>
                </c:pt>
              </c:numCache>
            </c:numRef>
          </c:val>
          <c:extLst>
            <c:ext xmlns:c16="http://schemas.microsoft.com/office/drawing/2014/chart" uri="{C3380CC4-5D6E-409C-BE32-E72D297353CC}">
              <c16:uniqueId val="{00000001-0ED6-4D86-B493-036CBCB7B66D}"/>
            </c:ext>
          </c:extLst>
        </c:ser>
        <c:ser>
          <c:idx val="2"/>
          <c:order val="2"/>
          <c:tx>
            <c:strRef>
              <c:f>'Customer PIVOT SHEET'!$Y$3</c:f>
              <c:strCache>
                <c:ptCount val="1"/>
                <c:pt idx="0">
                  <c:v>Avg Time on Site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SHEET'!$Y$4:$Y$16</c:f>
              <c:numCache>
                <c:formatCode>0.00</c:formatCode>
                <c:ptCount val="13"/>
                <c:pt idx="0">
                  <c:v>7.144285714285715</c:v>
                </c:pt>
                <c:pt idx="1">
                  <c:v>6.9883333333333333</c:v>
                </c:pt>
                <c:pt idx="2">
                  <c:v>6.2252631578947364</c:v>
                </c:pt>
                <c:pt idx="3">
                  <c:v>6.7176190476190483</c:v>
                </c:pt>
                <c:pt idx="4">
                  <c:v>9.129565217391308</c:v>
                </c:pt>
                <c:pt idx="5">
                  <c:v>8.6549999999999994</c:v>
                </c:pt>
                <c:pt idx="6">
                  <c:v>8.1051999999999982</c:v>
                </c:pt>
                <c:pt idx="7">
                  <c:v>8.7496296296296308</c:v>
                </c:pt>
                <c:pt idx="8">
                  <c:v>8.6199999999999992</c:v>
                </c:pt>
                <c:pt idx="9">
                  <c:v>7.7246428571428583</c:v>
                </c:pt>
                <c:pt idx="10">
                  <c:v>8.4324999999999992</c:v>
                </c:pt>
                <c:pt idx="11">
                  <c:v>7.2261290322580649</c:v>
                </c:pt>
                <c:pt idx="12">
                  <c:v>7.9534375000000015</c:v>
                </c:pt>
              </c:numCache>
            </c:numRef>
          </c:val>
          <c:extLst>
            <c:ext xmlns:c16="http://schemas.microsoft.com/office/drawing/2014/chart" uri="{C3380CC4-5D6E-409C-BE32-E72D297353CC}">
              <c16:uniqueId val="{00000002-0ED6-4D86-B493-036CBCB7B66D}"/>
            </c:ext>
          </c:extLst>
        </c:ser>
        <c:dLbls>
          <c:dLblPos val="ctr"/>
          <c:showLegendKey val="0"/>
          <c:showVal val="1"/>
          <c:showCatName val="0"/>
          <c:showSerName val="0"/>
          <c:showPercent val="0"/>
          <c:showBubbleSize val="0"/>
        </c:dLbls>
        <c:gapWidth val="60"/>
        <c:overlap val="100"/>
        <c:axId val="1097842928"/>
        <c:axId val="1097841488"/>
      </c:barChart>
      <c:catAx>
        <c:axId val="10978429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1488"/>
        <c:crosses val="autoZero"/>
        <c:auto val="1"/>
        <c:lblAlgn val="ctr"/>
        <c:lblOffset val="100"/>
        <c:noMultiLvlLbl val="0"/>
      </c:catAx>
      <c:valAx>
        <c:axId val="1097841488"/>
        <c:scaling>
          <c:orientation val="minMax"/>
        </c:scaling>
        <c:delete val="1"/>
        <c:axPos val="b"/>
        <c:numFmt formatCode="General" sourceLinked="1"/>
        <c:majorTickMark val="none"/>
        <c:minorTickMark val="none"/>
        <c:tickLblPos val="nextTo"/>
        <c:crossAx val="1097842928"/>
        <c:crosses val="autoZero"/>
        <c:crossBetween val="between"/>
      </c:valAx>
      <c:spPr>
        <a:noFill/>
        <a:ln>
          <a:noFill/>
        </a:ln>
        <a:effectLst/>
      </c:spPr>
    </c:plotArea>
    <c:legend>
      <c:legendPos val="r"/>
      <c:layout>
        <c:manualLayout>
          <c:xMode val="edge"/>
          <c:yMode val="edge"/>
          <c:x val="0.14341973003131164"/>
          <c:y val="0.92106415864683577"/>
          <c:w val="0.81112571199981054"/>
          <c:h val="7.6390201224846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SHEET!PivotTable13</c:name>
    <c:fmtId val="3"/>
  </c:pivotSource>
  <c:chart>
    <c:autoTitleDeleted val="1"/>
    <c:pivotFmts>
      <c:pivotFmt>
        <c:idx val="0"/>
        <c:spPr>
          <a:solidFill>
            <a:srgbClr val="00B050"/>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8.3333333333333329E-2"/>
              <c:y val="0.1249999999999999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20000"/>
              <a:lumOff val="80000"/>
            </a:schemeClr>
          </a:solidFill>
          <a:ln w="19050">
            <a:solidFill>
              <a:schemeClr val="lt1"/>
            </a:solidFill>
          </a:ln>
          <a:effectLst/>
        </c:spPr>
        <c:dLbl>
          <c:idx val="0"/>
          <c:layout>
            <c:manualLayout>
              <c:x val="-0.1"/>
              <c:y val="-1.8518518518518604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50"/>
          </a:solidFill>
          <a:ln w="19050">
            <a:solidFill>
              <a:schemeClr val="lt1"/>
            </a:solidFill>
          </a:ln>
          <a:effectLst/>
        </c:spPr>
        <c:dLbl>
          <c:idx val="0"/>
          <c:layout>
            <c:manualLayout>
              <c:x val="8.3333333333333329E-2"/>
              <c:y val="0.1249999999999999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20000"/>
              <a:lumOff val="80000"/>
            </a:schemeClr>
          </a:solidFill>
          <a:ln w="19050">
            <a:solidFill>
              <a:schemeClr val="lt1"/>
            </a:solidFill>
          </a:ln>
          <a:effectLst/>
        </c:spPr>
        <c:dLbl>
          <c:idx val="0"/>
          <c:layout>
            <c:manualLayout>
              <c:x val="-0.1"/>
              <c:y val="-1.8518518518518604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50"/>
          </a:solidFill>
          <a:ln w="19050">
            <a:solidFill>
              <a:schemeClr val="lt1"/>
            </a:solidFill>
          </a:ln>
          <a:effectLst/>
        </c:spPr>
        <c:dLbl>
          <c:idx val="0"/>
          <c:layout>
            <c:manualLayout>
              <c:x val="0.14172768549916662"/>
              <c:y val="0.12500017497812774"/>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20000"/>
              <a:lumOff val="80000"/>
            </a:schemeClr>
          </a:solidFill>
          <a:ln w="19050">
            <a:solidFill>
              <a:schemeClr val="lt1"/>
            </a:solidFill>
          </a:ln>
          <a:effectLst/>
        </c:spPr>
        <c:dLbl>
          <c:idx val="0"/>
          <c:layout>
            <c:manualLayout>
              <c:x val="-0.1583941605839416"/>
              <c:y val="-0.10740717410323709"/>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 PIVOT SHEET'!$G$8</c:f>
              <c:strCache>
                <c:ptCount val="1"/>
                <c:pt idx="0">
                  <c:v>Total</c:v>
                </c:pt>
              </c:strCache>
            </c:strRef>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1890-4A7F-AEF9-D5A640709BCC}"/>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1890-4A7F-AEF9-D5A640709BCC}"/>
              </c:ext>
            </c:extLst>
          </c:dPt>
          <c:dLbls>
            <c:dLbl>
              <c:idx val="0"/>
              <c:layout>
                <c:manualLayout>
                  <c:x val="0.14172768549916662"/>
                  <c:y val="0.125000174978127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90-4A7F-AEF9-D5A640709BCC}"/>
                </c:ext>
              </c:extLst>
            </c:dLbl>
            <c:dLbl>
              <c:idx val="1"/>
              <c:layout>
                <c:manualLayout>
                  <c:x val="-0.1583941605839416"/>
                  <c:y val="-0.107407174103237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90-4A7F-AEF9-D5A640709BCC}"/>
                </c:ext>
              </c:extLst>
            </c:dLbl>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PIVOT SHEET'!$F$9:$F$11</c:f>
              <c:strCache>
                <c:ptCount val="2"/>
                <c:pt idx="0">
                  <c:v>Female</c:v>
                </c:pt>
                <c:pt idx="1">
                  <c:v>Male</c:v>
                </c:pt>
              </c:strCache>
            </c:strRef>
          </c:cat>
          <c:val>
            <c:numRef>
              <c:f>'Customer PIVOT SHEET'!$G$9:$G$11</c:f>
              <c:numCache>
                <c:formatCode>General</c:formatCode>
                <c:ptCount val="2"/>
                <c:pt idx="0">
                  <c:v>187</c:v>
                </c:pt>
                <c:pt idx="1">
                  <c:v>131</c:v>
                </c:pt>
              </c:numCache>
            </c:numRef>
          </c:val>
          <c:extLst>
            <c:ext xmlns:c16="http://schemas.microsoft.com/office/drawing/2014/chart" uri="{C3380CC4-5D6E-409C-BE32-E72D297353CC}">
              <c16:uniqueId val="{00000004-1890-4A7F-AEF9-D5A640709BCC}"/>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SHEET!PivotTable14</c:name>
    <c:fmtId val="3"/>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20000"/>
              <a:lumOff val="80000"/>
            </a:schemeClr>
          </a:solidFill>
          <a:ln>
            <a:noFill/>
          </a:ln>
          <a:effectLst/>
        </c:spPr>
      </c:pivotFmt>
    </c:pivotFmts>
    <c:plotArea>
      <c:layout/>
      <c:barChart>
        <c:barDir val="col"/>
        <c:grouping val="clustered"/>
        <c:varyColors val="0"/>
        <c:ser>
          <c:idx val="0"/>
          <c:order val="0"/>
          <c:tx>
            <c:strRef>
              <c:f>'Customer PIVOT SHEET'!$M$3</c:f>
              <c:strCache>
                <c:ptCount val="1"/>
                <c:pt idx="0">
                  <c:v>Total</c:v>
                </c:pt>
              </c:strCache>
            </c:strRef>
          </c:tx>
          <c:spPr>
            <a:solidFill>
              <a:srgbClr val="00B050"/>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E51F-4C81-AF1E-27FA26279C4F}"/>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E51F-4C81-AF1E-27FA26279C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SHEET'!$L$4:$L$7</c:f>
              <c:strCache>
                <c:ptCount val="3"/>
                <c:pt idx="0">
                  <c:v>High</c:v>
                </c:pt>
                <c:pt idx="1">
                  <c:v>Low</c:v>
                </c:pt>
                <c:pt idx="2">
                  <c:v>Mid</c:v>
                </c:pt>
              </c:strCache>
            </c:strRef>
          </c:cat>
          <c:val>
            <c:numRef>
              <c:f>'Customer PIVOT SHEET'!$M$4:$M$7</c:f>
              <c:numCache>
                <c:formatCode>0.00</c:formatCode>
                <c:ptCount val="3"/>
                <c:pt idx="0">
                  <c:v>5.7256637168141564</c:v>
                </c:pt>
                <c:pt idx="1">
                  <c:v>5.3235051546391752</c:v>
                </c:pt>
                <c:pt idx="2">
                  <c:v>5.3147222222222217</c:v>
                </c:pt>
              </c:numCache>
            </c:numRef>
          </c:val>
          <c:extLst>
            <c:ext xmlns:c16="http://schemas.microsoft.com/office/drawing/2014/chart" uri="{C3380CC4-5D6E-409C-BE32-E72D297353CC}">
              <c16:uniqueId val="{00000002-E51F-4C81-AF1E-27FA26279C4F}"/>
            </c:ext>
          </c:extLst>
        </c:ser>
        <c:dLbls>
          <c:dLblPos val="outEnd"/>
          <c:showLegendKey val="0"/>
          <c:showVal val="1"/>
          <c:showCatName val="0"/>
          <c:showSerName val="0"/>
          <c:showPercent val="0"/>
          <c:showBubbleSize val="0"/>
        </c:dLbls>
        <c:gapWidth val="99"/>
        <c:overlap val="-73"/>
        <c:axId val="989823520"/>
        <c:axId val="989825440"/>
      </c:barChart>
      <c:catAx>
        <c:axId val="989823520"/>
        <c:scaling>
          <c:orientation val="minMax"/>
        </c:scaling>
        <c:delete val="0"/>
        <c:axPos val="b"/>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25440"/>
        <c:crosses val="autoZero"/>
        <c:auto val="1"/>
        <c:lblAlgn val="ctr"/>
        <c:lblOffset val="100"/>
        <c:noMultiLvlLbl val="0"/>
      </c:catAx>
      <c:valAx>
        <c:axId val="989825440"/>
        <c:scaling>
          <c:orientation val="minMax"/>
        </c:scaling>
        <c:delete val="1"/>
        <c:axPos val="l"/>
        <c:numFmt formatCode="0.00" sourceLinked="1"/>
        <c:majorTickMark val="none"/>
        <c:minorTickMark val="none"/>
        <c:tickLblPos val="nextTo"/>
        <c:crossAx val="98982352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SHEET!PivotTable27</c:name>
    <c:fmtId val="3"/>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s>
    <c:plotArea>
      <c:layout/>
      <c:barChart>
        <c:barDir val="col"/>
        <c:grouping val="clustered"/>
        <c:varyColors val="0"/>
        <c:ser>
          <c:idx val="0"/>
          <c:order val="0"/>
          <c:tx>
            <c:strRef>
              <c:f>'Customer PIVOT SHEET'!$P$3</c:f>
              <c:strCache>
                <c:ptCount val="1"/>
                <c:pt idx="0">
                  <c:v>Total</c:v>
                </c:pt>
              </c:strCache>
            </c:strRef>
          </c:tx>
          <c:spPr>
            <a:solidFill>
              <a:srgbClr val="00B050"/>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EC67-4583-ABE8-0A1D3AC552FF}"/>
              </c:ext>
            </c:extLst>
          </c:dPt>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EC67-4583-ABE8-0A1D3AC552F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EC67-4583-ABE8-0A1D3AC552FF}"/>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EC67-4583-ABE8-0A1D3AC552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SHEET'!$O$4:$O$9</c:f>
              <c:strCache>
                <c:ptCount val="5"/>
                <c:pt idx="0">
                  <c:v>0-3</c:v>
                </c:pt>
                <c:pt idx="1">
                  <c:v>3-6</c:v>
                </c:pt>
                <c:pt idx="2">
                  <c:v>6-9</c:v>
                </c:pt>
                <c:pt idx="3">
                  <c:v>9-12</c:v>
                </c:pt>
                <c:pt idx="4">
                  <c:v>12-15</c:v>
                </c:pt>
              </c:strCache>
            </c:strRef>
          </c:cat>
          <c:val>
            <c:numRef>
              <c:f>'Customer PIVOT SHEET'!$P$4:$P$9</c:f>
              <c:numCache>
                <c:formatCode>General</c:formatCode>
                <c:ptCount val="5"/>
                <c:pt idx="0">
                  <c:v>59</c:v>
                </c:pt>
                <c:pt idx="1">
                  <c:v>57</c:v>
                </c:pt>
                <c:pt idx="2">
                  <c:v>68</c:v>
                </c:pt>
                <c:pt idx="3">
                  <c:v>61</c:v>
                </c:pt>
                <c:pt idx="4">
                  <c:v>73</c:v>
                </c:pt>
              </c:numCache>
            </c:numRef>
          </c:val>
          <c:extLst>
            <c:ext xmlns:c16="http://schemas.microsoft.com/office/drawing/2014/chart" uri="{C3380CC4-5D6E-409C-BE32-E72D297353CC}">
              <c16:uniqueId val="{00000008-EC67-4583-ABE8-0A1D3AC552FF}"/>
            </c:ext>
          </c:extLst>
        </c:ser>
        <c:dLbls>
          <c:dLblPos val="inEnd"/>
          <c:showLegendKey val="0"/>
          <c:showVal val="1"/>
          <c:showCatName val="0"/>
          <c:showSerName val="0"/>
          <c:showPercent val="0"/>
          <c:showBubbleSize val="0"/>
        </c:dLbls>
        <c:gapWidth val="110"/>
        <c:overlap val="-27"/>
        <c:axId val="989852800"/>
        <c:axId val="989858560"/>
      </c:barChart>
      <c:catAx>
        <c:axId val="989852800"/>
        <c:scaling>
          <c:orientation val="minMax"/>
        </c:scaling>
        <c:delete val="0"/>
        <c:axPos val="b"/>
        <c:numFmt formatCode="General" sourceLinked="1"/>
        <c:majorTickMark val="none"/>
        <c:minorTickMark val="none"/>
        <c:tickLblPos val="nextTo"/>
        <c:spPr>
          <a:solidFill>
            <a:schemeClr val="lt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58560"/>
        <c:crosses val="autoZero"/>
        <c:auto val="1"/>
        <c:lblAlgn val="ctr"/>
        <c:lblOffset val="100"/>
        <c:noMultiLvlLbl val="0"/>
      </c:catAx>
      <c:valAx>
        <c:axId val="989858560"/>
        <c:scaling>
          <c:orientation val="minMax"/>
        </c:scaling>
        <c:delete val="1"/>
        <c:axPos val="l"/>
        <c:numFmt formatCode="General" sourceLinked="1"/>
        <c:majorTickMark val="none"/>
        <c:minorTickMark val="none"/>
        <c:tickLblPos val="nextTo"/>
        <c:crossAx val="98985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 Marketing  pivot sheet!PivotTable36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Narrow" panose="020B0606020202030204" pitchFamily="34" charset="0"/>
              </a:rPr>
              <a:t>CPA</a:t>
            </a:r>
            <a:r>
              <a:rPr lang="en-US" sz="1100" baseline="0">
                <a:latin typeface="Arial Narrow" panose="020B0606020202030204" pitchFamily="34" charset="0"/>
              </a:rPr>
              <a:t> by Campaign</a:t>
            </a:r>
            <a:endParaRPr lang="en-US" sz="1100">
              <a:latin typeface="Arial Narrow" panose="020B0606020202030204" pitchFamily="34" charset="0"/>
            </a:endParaRPr>
          </a:p>
        </c:rich>
      </c:tx>
      <c:layout>
        <c:manualLayout>
          <c:xMode val="edge"/>
          <c:yMode val="edge"/>
          <c:x val="0.4191804461942257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4FA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4846894138232"/>
          <c:y val="0.15101851851851855"/>
          <c:w val="0.79919597550306209"/>
          <c:h val="0.79805555555555552"/>
        </c:manualLayout>
      </c:layout>
      <c:barChart>
        <c:barDir val="bar"/>
        <c:grouping val="clustered"/>
        <c:varyColors val="0"/>
        <c:ser>
          <c:idx val="0"/>
          <c:order val="0"/>
          <c:tx>
            <c:strRef>
              <c:f>' Marketing  pivot sheet'!$G$22</c:f>
              <c:strCache>
                <c:ptCount val="1"/>
                <c:pt idx="0">
                  <c:v>Total</c:v>
                </c:pt>
              </c:strCache>
            </c:strRef>
          </c:tx>
          <c:spPr>
            <a:solidFill>
              <a:srgbClr val="A4FAAE"/>
            </a:solidFill>
            <a:ln>
              <a:noFill/>
            </a:ln>
            <a:effectLst/>
          </c:spPr>
          <c:invertIfNegative val="0"/>
          <c:cat>
            <c:strRef>
              <c:f>' Marketing  pivot sheet'!$F$23:$F$28</c:f>
              <c:strCache>
                <c:ptCount val="5"/>
                <c:pt idx="0">
                  <c:v>Social Media</c:v>
                </c:pt>
                <c:pt idx="1">
                  <c:v>Email</c:v>
                </c:pt>
                <c:pt idx="2">
                  <c:v>SEO</c:v>
                </c:pt>
                <c:pt idx="3">
                  <c:v>PPC</c:v>
                </c:pt>
                <c:pt idx="4">
                  <c:v>Referral</c:v>
                </c:pt>
              </c:strCache>
            </c:strRef>
          </c:cat>
          <c:val>
            <c:numRef>
              <c:f>' Marketing  pivot sheet'!$G$23:$G$28</c:f>
              <c:numCache>
                <c:formatCode>0.0</c:formatCode>
                <c:ptCount val="5"/>
                <c:pt idx="0">
                  <c:v>4667.3196825396835</c:v>
                </c:pt>
                <c:pt idx="1">
                  <c:v>4970.5037096774213</c:v>
                </c:pt>
                <c:pt idx="2">
                  <c:v>5184.462586206896</c:v>
                </c:pt>
                <c:pt idx="3">
                  <c:v>5441.0188333333317</c:v>
                </c:pt>
                <c:pt idx="4">
                  <c:v>5598.499230769231</c:v>
                </c:pt>
              </c:numCache>
            </c:numRef>
          </c:val>
          <c:extLst>
            <c:ext xmlns:c16="http://schemas.microsoft.com/office/drawing/2014/chart" uri="{C3380CC4-5D6E-409C-BE32-E72D297353CC}">
              <c16:uniqueId val="{00000000-BF58-4F52-92B7-9A9901C363E4}"/>
            </c:ext>
          </c:extLst>
        </c:ser>
        <c:dLbls>
          <c:showLegendKey val="0"/>
          <c:showVal val="0"/>
          <c:showCatName val="0"/>
          <c:showSerName val="0"/>
          <c:showPercent val="0"/>
          <c:showBubbleSize val="0"/>
        </c:dLbls>
        <c:gapWidth val="164"/>
        <c:overlap val="-100"/>
        <c:axId val="33739407"/>
        <c:axId val="33724047"/>
      </c:barChart>
      <c:catAx>
        <c:axId val="3373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4047"/>
        <c:crosses val="autoZero"/>
        <c:auto val="1"/>
        <c:lblAlgn val="ctr"/>
        <c:lblOffset val="50"/>
        <c:tickLblSkip val="1"/>
        <c:noMultiLvlLbl val="0"/>
      </c:catAx>
      <c:valAx>
        <c:axId val="33724047"/>
        <c:scaling>
          <c:orientation val="minMax"/>
        </c:scaling>
        <c:delete val="1"/>
        <c:axPos val="b"/>
        <c:numFmt formatCode="0.0" sourceLinked="1"/>
        <c:majorTickMark val="none"/>
        <c:minorTickMark val="none"/>
        <c:tickLblPos val="nextTo"/>
        <c:crossAx val="3373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 Marketing  pivot sheet!PivotTable37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Narrow" panose="020B0606020202030204" pitchFamily="34" charset="0"/>
              </a:rPr>
              <a:t>Engagement</a:t>
            </a:r>
            <a:r>
              <a:rPr lang="en-US" sz="1100" baseline="0">
                <a:latin typeface="Arial Narrow" panose="020B0606020202030204" pitchFamily="34" charset="0"/>
              </a:rPr>
              <a:t>  vs Outcome</a:t>
            </a:r>
            <a:endParaRPr lang="en-US" sz="110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780F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80F0A"/>
            </a:solidFill>
            <a:round/>
          </a:ln>
          <a:effectLst/>
        </c:spPr>
        <c:marker>
          <c:symbol val="none"/>
        </c:marker>
      </c:pivotFmt>
      <c:pivotFmt>
        <c:idx val="3"/>
        <c:spPr>
          <a:ln w="28575" cap="rnd">
            <a:solidFill>
              <a:srgbClr val="780F0A"/>
            </a:solidFill>
            <a:round/>
          </a:ln>
          <a:effectLst/>
        </c:spPr>
        <c:marker>
          <c:symbol val="none"/>
        </c:marker>
      </c:pivotFmt>
      <c:pivotFmt>
        <c:idx val="4"/>
        <c:spPr>
          <a:ln w="28575" cap="rnd">
            <a:solidFill>
              <a:srgbClr val="780F0A"/>
            </a:solidFill>
            <a:round/>
          </a:ln>
          <a:effectLst/>
        </c:spPr>
        <c:marker>
          <c:symbol val="none"/>
        </c:marke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Marketing  pivot sheet'!$Q$5</c:f>
              <c:strCache>
                <c:ptCount val="1"/>
                <c:pt idx="0">
                  <c:v>Sum of WebsiteVisits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Marketing  pivot sheet'!$P$6:$P$11</c:f>
              <c:strCache>
                <c:ptCount val="5"/>
                <c:pt idx="0">
                  <c:v>Email</c:v>
                </c:pt>
                <c:pt idx="1">
                  <c:v>PPC</c:v>
                </c:pt>
                <c:pt idx="2">
                  <c:v>Social Media</c:v>
                </c:pt>
                <c:pt idx="3">
                  <c:v>SEO</c:v>
                </c:pt>
                <c:pt idx="4">
                  <c:v>Referral</c:v>
                </c:pt>
              </c:strCache>
            </c:strRef>
          </c:cat>
          <c:val>
            <c:numRef>
              <c:f>' Marketing  pivot sheet'!$Q$6:$Q$11</c:f>
              <c:numCache>
                <c:formatCode>General</c:formatCode>
                <c:ptCount val="5"/>
                <c:pt idx="0">
                  <c:v>1765</c:v>
                </c:pt>
                <c:pt idx="1">
                  <c:v>1694</c:v>
                </c:pt>
                <c:pt idx="2">
                  <c:v>1669</c:v>
                </c:pt>
                <c:pt idx="3">
                  <c:v>1589</c:v>
                </c:pt>
                <c:pt idx="4">
                  <c:v>1309</c:v>
                </c:pt>
              </c:numCache>
            </c:numRef>
          </c:val>
          <c:extLst>
            <c:ext xmlns:c16="http://schemas.microsoft.com/office/drawing/2014/chart" uri="{C3380CC4-5D6E-409C-BE32-E72D297353CC}">
              <c16:uniqueId val="{00000000-225B-4879-89ED-AA44CD41B07C}"/>
            </c:ext>
          </c:extLst>
        </c:ser>
        <c:dLbls>
          <c:dLblPos val="inBase"/>
          <c:showLegendKey val="0"/>
          <c:showVal val="1"/>
          <c:showCatName val="0"/>
          <c:showSerName val="0"/>
          <c:showPercent val="0"/>
          <c:showBubbleSize val="0"/>
        </c:dLbls>
        <c:gapWidth val="219"/>
        <c:overlap val="-27"/>
        <c:axId val="33754767"/>
        <c:axId val="33715407"/>
      </c:barChart>
      <c:lineChart>
        <c:grouping val="standard"/>
        <c:varyColors val="0"/>
        <c:ser>
          <c:idx val="1"/>
          <c:order val="1"/>
          <c:tx>
            <c:strRef>
              <c:f>' Marketing  pivot sheet'!$R$5</c:f>
              <c:strCache>
                <c:ptCount val="1"/>
                <c:pt idx="0">
                  <c:v>Sum of Conversion</c:v>
                </c:pt>
              </c:strCache>
            </c:strRef>
          </c:tx>
          <c:spPr>
            <a:ln w="28575" cap="rnd">
              <a:solidFill>
                <a:srgbClr val="780F0A"/>
              </a:solidFill>
              <a:round/>
            </a:ln>
            <a:effectLst/>
          </c:spPr>
          <c:marker>
            <c:symbol val="none"/>
          </c:marker>
          <c:dPt>
            <c:idx val="0"/>
            <c:marker>
              <c:symbol val="none"/>
            </c:marker>
            <c:bubble3D val="0"/>
            <c:spPr>
              <a:ln w="28575" cap="rnd">
                <a:solidFill>
                  <a:srgbClr val="780F0A"/>
                </a:solidFill>
                <a:round/>
              </a:ln>
              <a:effectLst/>
            </c:spPr>
            <c:extLst>
              <c:ext xmlns:c16="http://schemas.microsoft.com/office/drawing/2014/chart" uri="{C3380CC4-5D6E-409C-BE32-E72D297353CC}">
                <c16:uniqueId val="{00000005-225B-4879-89ED-AA44CD41B07C}"/>
              </c:ext>
            </c:extLst>
          </c:dPt>
          <c:dLbls>
            <c:dLbl>
              <c:idx val="0"/>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5B-4879-89ED-AA44CD41B0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Marketing  pivot sheet'!$P$6:$P$11</c:f>
              <c:strCache>
                <c:ptCount val="5"/>
                <c:pt idx="0">
                  <c:v>Email</c:v>
                </c:pt>
                <c:pt idx="1">
                  <c:v>PPC</c:v>
                </c:pt>
                <c:pt idx="2">
                  <c:v>Social Media</c:v>
                </c:pt>
                <c:pt idx="3">
                  <c:v>SEO</c:v>
                </c:pt>
                <c:pt idx="4">
                  <c:v>Referral</c:v>
                </c:pt>
              </c:strCache>
            </c:strRef>
          </c:cat>
          <c:val>
            <c:numRef>
              <c:f>' Marketing  pivot sheet'!$R$6:$R$11</c:f>
              <c:numCache>
                <c:formatCode>General</c:formatCode>
                <c:ptCount val="5"/>
                <c:pt idx="0">
                  <c:v>62</c:v>
                </c:pt>
                <c:pt idx="1">
                  <c:v>60</c:v>
                </c:pt>
                <c:pt idx="2">
                  <c:v>63</c:v>
                </c:pt>
                <c:pt idx="3">
                  <c:v>58</c:v>
                </c:pt>
                <c:pt idx="4">
                  <c:v>52</c:v>
                </c:pt>
              </c:numCache>
            </c:numRef>
          </c:val>
          <c:smooth val="0"/>
          <c:extLst>
            <c:ext xmlns:c16="http://schemas.microsoft.com/office/drawing/2014/chart" uri="{C3380CC4-5D6E-409C-BE32-E72D297353CC}">
              <c16:uniqueId val="{00000001-225B-4879-89ED-AA44CD41B07C}"/>
            </c:ext>
          </c:extLst>
        </c:ser>
        <c:dLbls>
          <c:showLegendKey val="0"/>
          <c:showVal val="1"/>
          <c:showCatName val="0"/>
          <c:showSerName val="0"/>
          <c:showPercent val="0"/>
          <c:showBubbleSize val="0"/>
        </c:dLbls>
        <c:marker val="1"/>
        <c:smooth val="0"/>
        <c:axId val="1079582175"/>
        <c:axId val="1079576415"/>
      </c:lineChart>
      <c:catAx>
        <c:axId val="33754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Campaign</a:t>
                </a:r>
                <a:r>
                  <a:rPr lang="en-US" baseline="0"/>
                  <a:t> channel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5407"/>
        <c:crosses val="autoZero"/>
        <c:auto val="1"/>
        <c:lblAlgn val="ctr"/>
        <c:lblOffset val="100"/>
        <c:noMultiLvlLbl val="0"/>
      </c:catAx>
      <c:valAx>
        <c:axId val="33715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Website</a:t>
                </a:r>
                <a:r>
                  <a:rPr lang="en-US" baseline="0"/>
                  <a:t> </a:t>
                </a:r>
                <a:r>
                  <a:rPr lang="en-US"/>
                  <a:t>Visits</a:t>
                </a:r>
              </a:p>
            </c:rich>
          </c:tx>
          <c:layout>
            <c:manualLayout>
              <c:xMode val="edge"/>
              <c:yMode val="edge"/>
              <c:x val="3.0555555555555555E-2"/>
              <c:y val="0.31217957130358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4767"/>
        <c:crosses val="autoZero"/>
        <c:crossBetween val="between"/>
      </c:valAx>
      <c:valAx>
        <c:axId val="1079576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Conversions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582175"/>
        <c:crosses val="max"/>
        <c:crossBetween val="between"/>
      </c:valAx>
      <c:catAx>
        <c:axId val="1079582175"/>
        <c:scaling>
          <c:orientation val="minMax"/>
        </c:scaling>
        <c:delete val="1"/>
        <c:axPos val="b"/>
        <c:numFmt formatCode="General" sourceLinked="1"/>
        <c:majorTickMark val="out"/>
        <c:minorTickMark val="none"/>
        <c:tickLblPos val="nextTo"/>
        <c:crossAx val="1079576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Condensed" panose="020B0502040204020203" pitchFamily="34" charset="0"/>
              </a:rPr>
              <a:t>Spend</a:t>
            </a:r>
            <a:r>
              <a:rPr lang="en-US" baseline="0">
                <a:latin typeface="Bahnschrift Condensed" panose="020B0502040204020203" pitchFamily="34" charset="0"/>
              </a:rPr>
              <a:t> vs Conversions</a:t>
            </a:r>
            <a:endParaRPr lang="en-US">
              <a:latin typeface="Bahnschrift Condensed" panose="020B0502040204020203" pitchFamily="34" charset="0"/>
            </a:endParaRPr>
          </a:p>
        </c:rich>
      </c:tx>
      <c:layout>
        <c:manualLayout>
          <c:xMode val="edge"/>
          <c:yMode val="edge"/>
          <c:x val="0.3518401137357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'copy sheet for marketing analyt'!$H$4</c:f>
              <c:strCache>
                <c:ptCount val="1"/>
                <c:pt idx="0">
                  <c:v>Total Ad spend</c:v>
                </c:pt>
              </c:strCache>
            </c:strRef>
          </c:tx>
          <c:spPr>
            <a:solidFill>
              <a:srgbClr val="00B050"/>
            </a:solidFill>
            <a:ln>
              <a:noFill/>
            </a:ln>
            <a:effectLst/>
          </c:spPr>
          <c:invertIfNegative val="0"/>
          <c:dPt>
            <c:idx val="2"/>
            <c:invertIfNegative val="0"/>
            <c:bubble3D val="0"/>
            <c:spPr>
              <a:solidFill>
                <a:srgbClr val="780F0A"/>
              </a:solidFill>
              <a:ln>
                <a:noFill/>
              </a:ln>
              <a:effectLst/>
            </c:spPr>
            <c:extLst>
              <c:ext xmlns:c16="http://schemas.microsoft.com/office/drawing/2014/chart" uri="{C3380CC4-5D6E-409C-BE32-E72D297353CC}">
                <c16:uniqueId val="{00000002-A414-4515-B7DE-158E6CCC31C4}"/>
              </c:ext>
            </c:extLst>
          </c:dPt>
          <c:dLbls>
            <c:dLbl>
              <c:idx val="0"/>
              <c:tx>
                <c:rich>
                  <a:bodyPr/>
                  <a:lstStyle/>
                  <a:p>
                    <a:fld id="{1F8AEC58-B21A-4EEF-80F6-7DBBE67BBE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414-4515-B7DE-158E6CCC31C4}"/>
                </c:ext>
              </c:extLst>
            </c:dLbl>
            <c:dLbl>
              <c:idx val="1"/>
              <c:tx>
                <c:rich>
                  <a:bodyPr/>
                  <a:lstStyle/>
                  <a:p>
                    <a:fld id="{1C9E6166-73B5-4969-B474-65C24F527B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414-4515-B7DE-158E6CCC31C4}"/>
                </c:ext>
              </c:extLst>
            </c:dLbl>
            <c:dLbl>
              <c:idx val="2"/>
              <c:tx>
                <c:rich>
                  <a:bodyPr/>
                  <a:lstStyle/>
                  <a:p>
                    <a:fld id="{17652F46-0550-4F42-AADC-FFD95583B0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414-4515-B7DE-158E6CCC31C4}"/>
                </c:ext>
              </c:extLst>
            </c:dLbl>
            <c:dLbl>
              <c:idx val="3"/>
              <c:tx>
                <c:rich>
                  <a:bodyPr/>
                  <a:lstStyle/>
                  <a:p>
                    <a:fld id="{E06D52A2-695A-4FD0-8A60-A302CFA34B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414-4515-B7DE-158E6CCC31C4}"/>
                </c:ext>
              </c:extLst>
            </c:dLbl>
            <c:dLbl>
              <c:idx val="4"/>
              <c:tx>
                <c:rich>
                  <a:bodyPr/>
                  <a:lstStyle/>
                  <a:p>
                    <a:fld id="{FED2A8AE-3EFD-44D1-ABB7-750DC2F4F7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414-4515-B7DE-158E6CCC31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'copy sheet for marketing analyt'!$G$5:$G$9</c:f>
              <c:strCache>
                <c:ptCount val="5"/>
                <c:pt idx="0">
                  <c:v>Email</c:v>
                </c:pt>
                <c:pt idx="1">
                  <c:v>PPC</c:v>
                </c:pt>
                <c:pt idx="2">
                  <c:v>Referral</c:v>
                </c:pt>
                <c:pt idx="3">
                  <c:v>SEO</c:v>
                </c:pt>
                <c:pt idx="4">
                  <c:v>Social Media</c:v>
                </c:pt>
              </c:strCache>
            </c:strRef>
          </c:xVal>
          <c:yVal>
            <c:numRef>
              <c:f>'copy sheet for marketing analyt'!$H$5:$H$9</c:f>
              <c:numCache>
                <c:formatCode>0</c:formatCode>
                <c:ptCount val="5"/>
                <c:pt idx="0">
                  <c:v>308171.2300000001</c:v>
                </c:pt>
                <c:pt idx="1">
                  <c:v>326461.12999999989</c:v>
                </c:pt>
                <c:pt idx="2">
                  <c:v>291121.96000000002</c:v>
                </c:pt>
                <c:pt idx="3">
                  <c:v>300698.82999999996</c:v>
                </c:pt>
                <c:pt idx="4">
                  <c:v>294041.14000000007</c:v>
                </c:pt>
              </c:numCache>
            </c:numRef>
          </c:yVal>
          <c:bubbleSize>
            <c:numRef>
              <c:f>'copy sheet for marketing analyt'!$I$5:$I$9</c:f>
              <c:numCache>
                <c:formatCode>0.0</c:formatCode>
                <c:ptCount val="5"/>
                <c:pt idx="0">
                  <c:v>62</c:v>
                </c:pt>
                <c:pt idx="1">
                  <c:v>60</c:v>
                </c:pt>
                <c:pt idx="2">
                  <c:v>52</c:v>
                </c:pt>
                <c:pt idx="3">
                  <c:v>58</c:v>
                </c:pt>
                <c:pt idx="4">
                  <c:v>63</c:v>
                </c:pt>
              </c:numCache>
            </c:numRef>
          </c:bubbleSize>
          <c:bubble3D val="0"/>
          <c:extLst>
            <c:ext xmlns:c15="http://schemas.microsoft.com/office/drawing/2012/chart" uri="{02D57815-91ED-43cb-92C2-25804820EDAC}">
              <c15:datalabelsRange>
                <c15:f>'copy sheet for marketing analyt'!$G$5:$G$9</c15:f>
                <c15:dlblRangeCache>
                  <c:ptCount val="5"/>
                  <c:pt idx="0">
                    <c:v>Email</c:v>
                  </c:pt>
                  <c:pt idx="1">
                    <c:v>PPC</c:v>
                  </c:pt>
                  <c:pt idx="2">
                    <c:v>Referral</c:v>
                  </c:pt>
                  <c:pt idx="3">
                    <c:v>SEO</c:v>
                  </c:pt>
                  <c:pt idx="4">
                    <c:v>Social Media</c:v>
                  </c:pt>
                </c15:dlblRangeCache>
              </c15:datalabelsRange>
            </c:ext>
            <c:ext xmlns:c16="http://schemas.microsoft.com/office/drawing/2014/chart" uri="{C3380CC4-5D6E-409C-BE32-E72D297353CC}">
              <c16:uniqueId val="{00000000-A414-4515-B7DE-158E6CCC31C4}"/>
            </c:ext>
          </c:extLst>
        </c:ser>
        <c:ser>
          <c:idx val="1"/>
          <c:order val="1"/>
          <c:tx>
            <c:strRef>
              <c:f>'copy sheet for marketing analyt'!$J$4</c:f>
              <c:strCache>
                <c:ptCount val="1"/>
                <c:pt idx="0">
                  <c:v>Average of ConversionRate</c:v>
                </c:pt>
              </c:strCache>
            </c:strRef>
          </c:tx>
          <c:spPr>
            <a:solidFill>
              <a:srgbClr val="6AF69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'copy sheet for marketing analyt'!$G$5:$G$9</c:f>
              <c:strCache>
                <c:ptCount val="5"/>
                <c:pt idx="0">
                  <c:v>Email</c:v>
                </c:pt>
                <c:pt idx="1">
                  <c:v>PPC</c:v>
                </c:pt>
                <c:pt idx="2">
                  <c:v>Referral</c:v>
                </c:pt>
                <c:pt idx="3">
                  <c:v>SEO</c:v>
                </c:pt>
                <c:pt idx="4">
                  <c:v>Social Media</c:v>
                </c:pt>
              </c:strCache>
            </c:strRef>
          </c:xVal>
          <c:yVal>
            <c:numRef>
              <c:f>'copy sheet for marketing analyt'!$J$5:$J$9</c:f>
              <c:numCache>
                <c:formatCode>0.00%</c:formatCode>
                <c:ptCount val="5"/>
                <c:pt idx="0">
                  <c:v>0.10720588235294121</c:v>
                </c:pt>
                <c:pt idx="1">
                  <c:v>9.6521739130434783E-2</c:v>
                </c:pt>
                <c:pt idx="2">
                  <c:v>0.10226415094339622</c:v>
                </c:pt>
                <c:pt idx="3">
                  <c:v>0.10870967741935482</c:v>
                </c:pt>
                <c:pt idx="4">
                  <c:v>0.11212121212121214</c:v>
                </c:pt>
              </c:numCache>
            </c:numRef>
          </c:yVal>
          <c:bubbleSize>
            <c:numLit>
              <c:formatCode>General</c:formatCode>
              <c:ptCount val="5"/>
              <c:pt idx="0">
                <c:v>1</c:v>
              </c:pt>
              <c:pt idx="1">
                <c:v>1</c:v>
              </c:pt>
              <c:pt idx="2">
                <c:v>1</c:v>
              </c:pt>
              <c:pt idx="3">
                <c:v>1</c:v>
              </c:pt>
              <c:pt idx="4">
                <c:v>1</c:v>
              </c:pt>
            </c:numLit>
          </c:bubbleSize>
          <c:bubble3D val="0"/>
          <c:extLst>
            <c:ext xmlns:c16="http://schemas.microsoft.com/office/drawing/2014/chart" uri="{C3380CC4-5D6E-409C-BE32-E72D297353CC}">
              <c16:uniqueId val="{00000001-A414-4515-B7DE-158E6CCC31C4}"/>
            </c:ext>
          </c:extLst>
        </c:ser>
        <c:dLbls>
          <c:dLblPos val="t"/>
          <c:showLegendKey val="0"/>
          <c:showVal val="1"/>
          <c:showCatName val="0"/>
          <c:showSerName val="0"/>
          <c:showPercent val="0"/>
          <c:showBubbleSize val="0"/>
        </c:dLbls>
        <c:bubbleScale val="100"/>
        <c:showNegBubbles val="0"/>
        <c:axId val="343819872"/>
        <c:axId val="343823232"/>
      </c:bubbleChart>
      <c:valAx>
        <c:axId val="34381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Ad</a:t>
                </a:r>
                <a:r>
                  <a:rPr lang="en-US" baseline="0"/>
                  <a:t> Spend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23232"/>
        <c:crosses val="autoZero"/>
        <c:crossBetween val="midCat"/>
      </c:valAx>
      <c:valAx>
        <c:axId val="34382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Conversion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19872"/>
        <c:crosses val="autoZero"/>
        <c:crossBetween val="midCat"/>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Bodoni MT Condensed" panose="02070606080606020203" pitchFamily="18" charset="0"/>
              </a:rPr>
              <a:t>Customer</a:t>
            </a:r>
            <a:r>
              <a:rPr lang="en-US" sz="1100" baseline="0">
                <a:latin typeface="Bodoni MT Condensed" panose="02070606080606020203" pitchFamily="18" charset="0"/>
              </a:rPr>
              <a:t> Segmentation by Gender</a:t>
            </a:r>
            <a:endParaRPr lang="en-US" sz="1100">
              <a:latin typeface="Bodoni MT Condensed" panose="02070606080606020203" pitchFamily="18" charset="0"/>
            </a:endParaRPr>
          </a:p>
        </c:rich>
      </c:tx>
      <c:layout>
        <c:manualLayout>
          <c:xMode val="edge"/>
          <c:yMode val="edge"/>
          <c:x val="0.3615207786526684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8.3333333333333329E-2"/>
              <c:y val="0.1249999999999999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20000"/>
              <a:lumOff val="80000"/>
            </a:schemeClr>
          </a:solidFill>
          <a:ln w="19050">
            <a:solidFill>
              <a:schemeClr val="lt1"/>
            </a:solidFill>
          </a:ln>
          <a:effectLst/>
        </c:spPr>
        <c:dLbl>
          <c:idx val="0"/>
          <c:layout>
            <c:manualLayout>
              <c:x val="-0.1"/>
              <c:y val="-1.8518518518518604E-2"/>
            </c:manualLayout>
          </c:layout>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 PIVOT SHEET'!$G$8</c:f>
              <c:strCache>
                <c:ptCount val="1"/>
                <c:pt idx="0">
                  <c:v>Total</c:v>
                </c:pt>
              </c:strCache>
            </c:strRef>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2-66CE-4D61-8E74-934A4639DCF4}"/>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66CE-4D61-8E74-934A4639DCF4}"/>
              </c:ext>
            </c:extLst>
          </c:dPt>
          <c:dLbls>
            <c:dLbl>
              <c:idx val="0"/>
              <c:layout>
                <c:manualLayout>
                  <c:x val="8.3333333333333329E-2"/>
                  <c:y val="0.124999999999999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6CE-4D61-8E74-934A4639DCF4}"/>
                </c:ext>
              </c:extLst>
            </c:dLbl>
            <c:dLbl>
              <c:idx val="1"/>
              <c:layout>
                <c:manualLayout>
                  <c:x val="-0.1"/>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6CE-4D61-8E74-934A4639DCF4}"/>
                </c:ext>
              </c:extLst>
            </c:dLbl>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PIVOT SHEET'!$F$9:$F$11</c:f>
              <c:strCache>
                <c:ptCount val="2"/>
                <c:pt idx="0">
                  <c:v>Female</c:v>
                </c:pt>
                <c:pt idx="1">
                  <c:v>Male</c:v>
                </c:pt>
              </c:strCache>
            </c:strRef>
          </c:cat>
          <c:val>
            <c:numRef>
              <c:f>'Customer PIVOT SHEET'!$G$9:$G$11</c:f>
              <c:numCache>
                <c:formatCode>General</c:formatCode>
                <c:ptCount val="2"/>
                <c:pt idx="0">
                  <c:v>187</c:v>
                </c:pt>
                <c:pt idx="1">
                  <c:v>131</c:v>
                </c:pt>
              </c:numCache>
            </c:numRef>
          </c:val>
          <c:extLst>
            <c:ext xmlns:c16="http://schemas.microsoft.com/office/drawing/2014/chart" uri="{C3380CC4-5D6E-409C-BE32-E72D297353CC}">
              <c16:uniqueId val="{00000000-66CE-4D61-8E74-934A4639DCF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Condensed" panose="02070606080606020203" pitchFamily="18" charset="0"/>
              </a:rPr>
              <a:t>Average</a:t>
            </a:r>
            <a:r>
              <a:rPr lang="en-US" b="1" baseline="0">
                <a:latin typeface="Bodoni MT Condensed" panose="02070606080606020203" pitchFamily="18" charset="0"/>
              </a:rPr>
              <a:t> Engagement by Income Group</a:t>
            </a:r>
            <a:endParaRPr lang="en-US" b="1">
              <a:latin typeface="Bodoni MT Condensed" panose="02070606080606020203" pitchFamily="18" charset="0"/>
            </a:endParaRPr>
          </a:p>
        </c:rich>
      </c:tx>
      <c:layout>
        <c:manualLayout>
          <c:xMode val="edge"/>
          <c:yMode val="edge"/>
          <c:x val="0.18669637156841881"/>
          <c:y val="1.3888969154085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s>
    <c:plotArea>
      <c:layout/>
      <c:barChart>
        <c:barDir val="col"/>
        <c:grouping val="clustered"/>
        <c:varyColors val="0"/>
        <c:ser>
          <c:idx val="0"/>
          <c:order val="0"/>
          <c:tx>
            <c:strRef>
              <c:f>'Customer PIVOT SHEET'!$M$3</c:f>
              <c:strCache>
                <c:ptCount val="1"/>
                <c:pt idx="0">
                  <c:v>Total</c:v>
                </c:pt>
              </c:strCache>
            </c:strRef>
          </c:tx>
          <c:spPr>
            <a:solidFill>
              <a:srgbClr val="00B050"/>
            </a:solidFill>
            <a:ln>
              <a:noFill/>
            </a:ln>
            <a:effectLst/>
          </c:spPr>
          <c:invertIfNegative val="0"/>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2119-4102-94A7-0C74DE9322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SHEET'!$L$4:$L$7</c:f>
              <c:strCache>
                <c:ptCount val="3"/>
                <c:pt idx="0">
                  <c:v>High</c:v>
                </c:pt>
                <c:pt idx="1">
                  <c:v>Low</c:v>
                </c:pt>
                <c:pt idx="2">
                  <c:v>Mid</c:v>
                </c:pt>
              </c:strCache>
            </c:strRef>
          </c:cat>
          <c:val>
            <c:numRef>
              <c:f>'Customer PIVOT SHEET'!$M$4:$M$7</c:f>
              <c:numCache>
                <c:formatCode>0.00</c:formatCode>
                <c:ptCount val="3"/>
                <c:pt idx="0">
                  <c:v>5.7256637168141564</c:v>
                </c:pt>
                <c:pt idx="1">
                  <c:v>5.3235051546391752</c:v>
                </c:pt>
                <c:pt idx="2">
                  <c:v>5.3147222222222217</c:v>
                </c:pt>
              </c:numCache>
            </c:numRef>
          </c:val>
          <c:extLst>
            <c:ext xmlns:c16="http://schemas.microsoft.com/office/drawing/2014/chart" uri="{C3380CC4-5D6E-409C-BE32-E72D297353CC}">
              <c16:uniqueId val="{00000000-2119-4102-94A7-0C74DE932292}"/>
            </c:ext>
          </c:extLst>
        </c:ser>
        <c:dLbls>
          <c:dLblPos val="outEnd"/>
          <c:showLegendKey val="0"/>
          <c:showVal val="1"/>
          <c:showCatName val="0"/>
          <c:showSerName val="0"/>
          <c:showPercent val="0"/>
          <c:showBubbleSize val="0"/>
        </c:dLbls>
        <c:gapWidth val="99"/>
        <c:overlap val="-73"/>
        <c:axId val="989823520"/>
        <c:axId val="989825440"/>
      </c:barChart>
      <c:catAx>
        <c:axId val="989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25440"/>
        <c:crosses val="autoZero"/>
        <c:auto val="1"/>
        <c:lblAlgn val="ctr"/>
        <c:lblOffset val="100"/>
        <c:noMultiLvlLbl val="0"/>
      </c:catAx>
      <c:valAx>
        <c:axId val="989825440"/>
        <c:scaling>
          <c:orientation val="minMax"/>
        </c:scaling>
        <c:delete val="1"/>
        <c:axPos val="l"/>
        <c:numFmt formatCode="0.00" sourceLinked="1"/>
        <c:majorTickMark val="none"/>
        <c:minorTickMark val="none"/>
        <c:tickLblPos val="nextTo"/>
        <c:crossAx val="98982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odoni MT Condensed" panose="02070606080606020203" pitchFamily="18" charset="0"/>
              </a:rPr>
              <a:t>Distribution</a:t>
            </a:r>
            <a:r>
              <a:rPr lang="en-US" sz="1100" b="1" baseline="0">
                <a:latin typeface="Bodoni MT Condensed" panose="02070606080606020203" pitchFamily="18" charset="0"/>
              </a:rPr>
              <a:t> of Time on Site</a:t>
            </a:r>
            <a:endParaRPr lang="en-US" sz="1100" b="1">
              <a:latin typeface="Bodoni MT Condensed" panose="02070606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s>
    <c:plotArea>
      <c:layout/>
      <c:barChart>
        <c:barDir val="col"/>
        <c:grouping val="clustered"/>
        <c:varyColors val="0"/>
        <c:ser>
          <c:idx val="0"/>
          <c:order val="0"/>
          <c:tx>
            <c:strRef>
              <c:f>'Customer PIVOT SHEET'!$P$3</c:f>
              <c:strCache>
                <c:ptCount val="1"/>
                <c:pt idx="0">
                  <c:v>Total</c:v>
                </c:pt>
              </c:strCache>
            </c:strRef>
          </c:tx>
          <c:spPr>
            <a:solidFill>
              <a:srgbClr val="00B050"/>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E78-4DF3-B975-F90F4926A4B9}"/>
              </c:ext>
            </c:extLst>
          </c:dPt>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8E78-4DF3-B975-F90F4926A4B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8E78-4DF3-B975-F90F4926A4B9}"/>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8E78-4DF3-B975-F90F4926A4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SHEET'!$O$4:$O$9</c:f>
              <c:strCache>
                <c:ptCount val="5"/>
                <c:pt idx="0">
                  <c:v>0-3</c:v>
                </c:pt>
                <c:pt idx="1">
                  <c:v>3-6</c:v>
                </c:pt>
                <c:pt idx="2">
                  <c:v>6-9</c:v>
                </c:pt>
                <c:pt idx="3">
                  <c:v>9-12</c:v>
                </c:pt>
                <c:pt idx="4">
                  <c:v>12-15</c:v>
                </c:pt>
              </c:strCache>
            </c:strRef>
          </c:cat>
          <c:val>
            <c:numRef>
              <c:f>'Customer PIVOT SHEET'!$P$4:$P$9</c:f>
              <c:numCache>
                <c:formatCode>General</c:formatCode>
                <c:ptCount val="5"/>
                <c:pt idx="0">
                  <c:v>59</c:v>
                </c:pt>
                <c:pt idx="1">
                  <c:v>57</c:v>
                </c:pt>
                <c:pt idx="2">
                  <c:v>68</c:v>
                </c:pt>
                <c:pt idx="3">
                  <c:v>61</c:v>
                </c:pt>
                <c:pt idx="4">
                  <c:v>73</c:v>
                </c:pt>
              </c:numCache>
            </c:numRef>
          </c:val>
          <c:extLst>
            <c:ext xmlns:c16="http://schemas.microsoft.com/office/drawing/2014/chart" uri="{C3380CC4-5D6E-409C-BE32-E72D297353CC}">
              <c16:uniqueId val="{00000000-8E78-4DF3-B975-F90F4926A4B9}"/>
            </c:ext>
          </c:extLst>
        </c:ser>
        <c:dLbls>
          <c:dLblPos val="outEnd"/>
          <c:showLegendKey val="0"/>
          <c:showVal val="1"/>
          <c:showCatName val="0"/>
          <c:showSerName val="0"/>
          <c:showPercent val="0"/>
          <c:showBubbleSize val="0"/>
        </c:dLbls>
        <c:gapWidth val="110"/>
        <c:overlap val="-27"/>
        <c:axId val="989852800"/>
        <c:axId val="989858560"/>
      </c:barChart>
      <c:catAx>
        <c:axId val="9898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58560"/>
        <c:crosses val="autoZero"/>
        <c:auto val="1"/>
        <c:lblAlgn val="ctr"/>
        <c:lblOffset val="100"/>
        <c:noMultiLvlLbl val="0"/>
      </c:catAx>
      <c:valAx>
        <c:axId val="989858560"/>
        <c:scaling>
          <c:orientation val="minMax"/>
        </c:scaling>
        <c:delete val="1"/>
        <c:axPos val="l"/>
        <c:numFmt formatCode="General" sourceLinked="1"/>
        <c:majorTickMark val="none"/>
        <c:minorTickMark val="none"/>
        <c:tickLblPos val="nextTo"/>
        <c:crossAx val="98985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MARKETING DASHBOARD 1 (version 1).xlsb.xlsx]Customer PIVOT SHEET!PivotTable30</c:name>
    <c:fmtId val="2"/>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42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PIVOT SHEET'!$W$3</c:f>
              <c:strCache>
                <c:ptCount val="1"/>
                <c:pt idx="0">
                  <c:v>Total Customers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SHEET'!$W$4:$W$16</c:f>
              <c:numCache>
                <c:formatCode>General</c:formatCode>
                <c:ptCount val="13"/>
                <c:pt idx="0">
                  <c:v>14</c:v>
                </c:pt>
                <c:pt idx="1">
                  <c:v>18</c:v>
                </c:pt>
                <c:pt idx="2">
                  <c:v>19</c:v>
                </c:pt>
                <c:pt idx="3">
                  <c:v>21</c:v>
                </c:pt>
                <c:pt idx="4">
                  <c:v>23</c:v>
                </c:pt>
                <c:pt idx="5">
                  <c:v>24</c:v>
                </c:pt>
                <c:pt idx="6">
                  <c:v>25</c:v>
                </c:pt>
                <c:pt idx="7">
                  <c:v>27</c:v>
                </c:pt>
                <c:pt idx="8">
                  <c:v>28</c:v>
                </c:pt>
                <c:pt idx="9">
                  <c:v>28</c:v>
                </c:pt>
                <c:pt idx="10">
                  <c:v>28</c:v>
                </c:pt>
                <c:pt idx="11">
                  <c:v>31</c:v>
                </c:pt>
                <c:pt idx="12">
                  <c:v>32</c:v>
                </c:pt>
              </c:numCache>
            </c:numRef>
          </c:val>
          <c:extLst>
            <c:ext xmlns:c16="http://schemas.microsoft.com/office/drawing/2014/chart" uri="{C3380CC4-5D6E-409C-BE32-E72D297353CC}">
              <c16:uniqueId val="{00000000-4AB4-4D00-9F23-A21411EC0A28}"/>
            </c:ext>
          </c:extLst>
        </c:ser>
        <c:ser>
          <c:idx val="1"/>
          <c:order val="1"/>
          <c:tx>
            <c:strRef>
              <c:f>'Customer PIVOT SHEET'!$X$3</c:f>
              <c:strCache>
                <c:ptCount val="1"/>
                <c:pt idx="0">
                  <c:v>Total Conversions</c:v>
                </c:pt>
              </c:strCache>
            </c:strRef>
          </c:tx>
          <c:spPr>
            <a:solidFill>
              <a:schemeClr val="accent6">
                <a:alpha val="4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SHEET'!$X$4:$X$16</c:f>
              <c:numCache>
                <c:formatCode>General</c:formatCode>
                <c:ptCount val="13"/>
                <c:pt idx="0">
                  <c:v>13</c:v>
                </c:pt>
                <c:pt idx="1">
                  <c:v>15</c:v>
                </c:pt>
                <c:pt idx="2">
                  <c:v>17</c:v>
                </c:pt>
                <c:pt idx="3">
                  <c:v>21</c:v>
                </c:pt>
                <c:pt idx="4">
                  <c:v>22</c:v>
                </c:pt>
                <c:pt idx="5">
                  <c:v>23</c:v>
                </c:pt>
                <c:pt idx="6">
                  <c:v>25</c:v>
                </c:pt>
                <c:pt idx="7">
                  <c:v>25</c:v>
                </c:pt>
                <c:pt idx="8">
                  <c:v>26</c:v>
                </c:pt>
                <c:pt idx="9">
                  <c:v>24</c:v>
                </c:pt>
                <c:pt idx="10">
                  <c:v>24</c:v>
                </c:pt>
                <c:pt idx="11">
                  <c:v>29</c:v>
                </c:pt>
                <c:pt idx="12">
                  <c:v>31</c:v>
                </c:pt>
              </c:numCache>
            </c:numRef>
          </c:val>
          <c:extLst>
            <c:ext xmlns:c16="http://schemas.microsoft.com/office/drawing/2014/chart" uri="{C3380CC4-5D6E-409C-BE32-E72D297353CC}">
              <c16:uniqueId val="{00000001-4AB4-4D00-9F23-A21411EC0A28}"/>
            </c:ext>
          </c:extLst>
        </c:ser>
        <c:ser>
          <c:idx val="2"/>
          <c:order val="2"/>
          <c:tx>
            <c:strRef>
              <c:f>'Customer PIVOT SHEET'!$Y$3</c:f>
              <c:strCache>
                <c:ptCount val="1"/>
                <c:pt idx="0">
                  <c:v>Avg Time on Site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 SHEET'!$V$4:$V$16</c:f>
              <c:strCache>
                <c:ptCount val="13"/>
                <c:pt idx="0">
                  <c:v>34-37</c:v>
                </c:pt>
                <c:pt idx="1">
                  <c:v>30-33</c:v>
                </c:pt>
                <c:pt idx="2">
                  <c:v>26-29</c:v>
                </c:pt>
                <c:pt idx="3">
                  <c:v>58-61</c:v>
                </c:pt>
                <c:pt idx="4">
                  <c:v>46-49</c:v>
                </c:pt>
                <c:pt idx="5">
                  <c:v>54-57</c:v>
                </c:pt>
                <c:pt idx="6">
                  <c:v>62-65</c:v>
                </c:pt>
                <c:pt idx="7">
                  <c:v>18-21</c:v>
                </c:pt>
                <c:pt idx="8">
                  <c:v>66-69</c:v>
                </c:pt>
                <c:pt idx="9">
                  <c:v>22-25</c:v>
                </c:pt>
                <c:pt idx="10">
                  <c:v>50-53</c:v>
                </c:pt>
                <c:pt idx="11">
                  <c:v>38-41</c:v>
                </c:pt>
                <c:pt idx="12">
                  <c:v>42-45</c:v>
                </c:pt>
              </c:strCache>
            </c:strRef>
          </c:cat>
          <c:val>
            <c:numRef>
              <c:f>'Customer PIVOT SHEET'!$Y$4:$Y$16</c:f>
              <c:numCache>
                <c:formatCode>0.00</c:formatCode>
                <c:ptCount val="13"/>
                <c:pt idx="0">
                  <c:v>7.144285714285715</c:v>
                </c:pt>
                <c:pt idx="1">
                  <c:v>6.9883333333333333</c:v>
                </c:pt>
                <c:pt idx="2">
                  <c:v>6.2252631578947364</c:v>
                </c:pt>
                <c:pt idx="3">
                  <c:v>6.7176190476190483</c:v>
                </c:pt>
                <c:pt idx="4">
                  <c:v>9.129565217391308</c:v>
                </c:pt>
                <c:pt idx="5">
                  <c:v>8.6549999999999994</c:v>
                </c:pt>
                <c:pt idx="6">
                  <c:v>8.1051999999999982</c:v>
                </c:pt>
                <c:pt idx="7">
                  <c:v>8.7496296296296308</c:v>
                </c:pt>
                <c:pt idx="8">
                  <c:v>8.6199999999999992</c:v>
                </c:pt>
                <c:pt idx="9">
                  <c:v>7.7246428571428583</c:v>
                </c:pt>
                <c:pt idx="10">
                  <c:v>8.4324999999999992</c:v>
                </c:pt>
                <c:pt idx="11">
                  <c:v>7.2261290322580649</c:v>
                </c:pt>
                <c:pt idx="12">
                  <c:v>7.9534375000000015</c:v>
                </c:pt>
              </c:numCache>
            </c:numRef>
          </c:val>
          <c:extLst>
            <c:ext xmlns:c16="http://schemas.microsoft.com/office/drawing/2014/chart" uri="{C3380CC4-5D6E-409C-BE32-E72D297353CC}">
              <c16:uniqueId val="{00000002-4AB4-4D00-9F23-A21411EC0A28}"/>
            </c:ext>
          </c:extLst>
        </c:ser>
        <c:dLbls>
          <c:dLblPos val="ctr"/>
          <c:showLegendKey val="0"/>
          <c:showVal val="1"/>
          <c:showCatName val="0"/>
          <c:showSerName val="0"/>
          <c:showPercent val="0"/>
          <c:showBubbleSize val="0"/>
        </c:dLbls>
        <c:gapWidth val="150"/>
        <c:overlap val="100"/>
        <c:axId val="1097842928"/>
        <c:axId val="1097841488"/>
      </c:barChart>
      <c:catAx>
        <c:axId val="10978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1488"/>
        <c:crosses val="autoZero"/>
        <c:auto val="1"/>
        <c:lblAlgn val="ctr"/>
        <c:lblOffset val="100"/>
        <c:noMultiLvlLbl val="0"/>
      </c:catAx>
      <c:valAx>
        <c:axId val="1097841488"/>
        <c:scaling>
          <c:orientation val="minMax"/>
        </c:scaling>
        <c:delete val="1"/>
        <c:axPos val="b"/>
        <c:numFmt formatCode="General" sourceLinked="1"/>
        <c:majorTickMark val="none"/>
        <c:minorTickMark val="none"/>
        <c:tickLblPos val="nextTo"/>
        <c:crossAx val="109784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CB0BBA2B-D634-4C7D-BE49-D0B5CA912C6E}">
          <cx:spPr>
            <a:solidFill>
              <a:srgbClr val="00B050"/>
            </a:solidFill>
          </cx:spPr>
          <cx:dataPt idx="0">
            <cx:spPr>
              <a:solidFill>
                <a:srgbClr val="70AD47">
                  <a:lumMod val="20000"/>
                  <a:lumOff val="80000"/>
                </a:srgbClr>
              </a:solidFill>
            </cx:spPr>
          </cx:dataPt>
          <cx:dataPt idx="1">
            <cx:spPr>
              <a:solidFill>
                <a:srgbClr val="70AD47">
                  <a:lumMod val="40000"/>
                  <a:lumOff val="60000"/>
                  <a:alpha val="71000"/>
                </a:srgbClr>
              </a:solidFill>
            </cx:spPr>
          </cx:dataPt>
          <cx:dataLabels>
            <cx:visibility seriesName="0" categoryName="0" value="1"/>
          </cx:dataLabels>
          <cx:dataId val="0"/>
        </cx:series>
      </cx:plotAreaRegion>
      <cx:axis id="0">
        <cx:catScaling gapWidth="0"/>
        <cx:tickLabels/>
        <cx:spPr>
          <a:ln>
            <a:noFill/>
          </a:ln>
        </cx:spPr>
      </cx:axis>
    </cx:plotArea>
  </cx:chart>
  <cx:spPr>
    <a:solidFill>
      <a:schemeClr val="bg1"/>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noFill/>
            </a:ln>
          </cx:spPr>
        </cx:plotSurface>
        <cx:series layoutId="funnel" uniqueId="{1B4F61DF-C53B-4D2B-ADE3-C3B1AA08B393}">
          <cx:spPr>
            <a:solidFill>
              <a:srgbClr val="00B050"/>
            </a:solidFill>
          </cx:spPr>
          <cx:dataPt idx="0">
            <cx:spPr>
              <a:solidFill>
                <a:srgbClr val="70AD47">
                  <a:lumMod val="20000"/>
                  <a:lumOff val="80000"/>
                </a:srgbClr>
              </a:solidFill>
            </cx:spPr>
          </cx:dataPt>
          <cx:dataPt idx="1">
            <cx:spPr>
              <a:solidFill>
                <a:srgbClr val="70AD47">
                  <a:lumMod val="60000"/>
                  <a:lumOff val="40000"/>
                  <a:alpha val="73000"/>
                </a:srgbClr>
              </a:solidFill>
            </cx:spPr>
          </cx:dataPt>
          <cx:dataLabels>
            <cx:visibility seriesName="0" categoryName="0" value="1"/>
          </cx:dataLabels>
          <cx:dataId val="0"/>
        </cx:series>
      </cx:plotAreaRegion>
      <cx:axis id="0">
        <cx:catScaling gapWidth="0"/>
        <cx:tickLabels/>
        <cx:spPr>
          <a:ln>
            <a:solidFill>
              <a:schemeClr val="lt1">
                <a:shade val="50000"/>
                <a:alpha val="13000"/>
              </a:schemeClr>
            </a:solidFill>
          </a:ln>
        </cx:spPr>
      </cx:axis>
    </cx:plotArea>
  </cx:chart>
  <cx:spPr>
    <a:solidFill>
      <a:schemeClr val="bg1"/>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Marketing Conversion Funnel</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Arial Narrow" panose="020B0606020202030204" pitchFamily="34" charset="0"/>
            </a:rPr>
            <a:t>Marketing Conversion Funnel</a:t>
          </a:r>
        </a:p>
      </cx:txPr>
    </cx:title>
    <cx:plotArea>
      <cx:plotAreaRegion>
        <cx:series layoutId="funnel" uniqueId="{CB0BBA2B-D634-4C7D-BE49-D0B5CA912C6E}">
          <cx:spPr>
            <a:solidFill>
              <a:srgbClr val="92F8AF"/>
            </a:solidFill>
          </cx:spPr>
          <cx:dataLabels>
            <cx:visibility seriesName="0" categoryName="0" value="1"/>
          </cx:dataLabels>
          <cx:dataId val="0"/>
        </cx:series>
      </cx:plotAreaRegion>
      <cx:axis id="0">
        <cx:catScaling gapWidth="0"/>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Customer Conversion Funnel</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Bodoni MT Condensed" panose="02070606080606020203" pitchFamily="18" charset="0"/>
            </a:rPr>
            <a:t>Customer Conversion Funnel</a:t>
          </a:r>
        </a:p>
      </cx:txPr>
    </cx:title>
    <cx:plotArea>
      <cx:plotAreaRegion>
        <cx:series layoutId="funnel" uniqueId="{1B4F61DF-C53B-4D2B-ADE3-C3B1AA08B393}">
          <cx:spPr>
            <a:solidFill>
              <a:srgbClr val="00B050"/>
            </a:solidFill>
          </cx:spPr>
          <cx:dataPt idx="0">
            <cx:spPr>
              <a:solidFill>
                <a:srgbClr val="70AD47">
                  <a:lumMod val="60000"/>
                  <a:lumOff val="40000"/>
                </a:srgbClr>
              </a:solidFill>
            </cx:spPr>
          </cx:dataPt>
          <cx:dataPt idx="1">
            <cx:spPr>
              <a:solidFill>
                <a:srgbClr val="70AD47">
                  <a:lumMod val="60000"/>
                  <a:lumOff val="40000"/>
                </a:srgbClr>
              </a:solidFill>
            </cx:spPr>
          </cx:dataPt>
          <cx:dataLabels>
            <cx:visibility seriesName="0" categoryName="0" value="1"/>
          </cx:dataLabels>
          <cx:dataId val="0"/>
        </cx:series>
      </cx:plotAreaRegion>
      <cx:axis id="0">
        <cx:catScaling gapWidth="0"/>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 ANALYTICS DASHBOARD'!A1"/><Relationship Id="rId3" Type="http://schemas.microsoft.com/office/2014/relationships/chartEx" Target="../charts/chartEx1.xml"/><Relationship Id="rId7" Type="http://schemas.openxmlformats.org/officeDocument/2006/relationships/hyperlink" Target="#'MARKETING DASHBOARD SHEET'!A1"/><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3.jpeg"/><Relationship Id="rId4" Type="http://schemas.openxmlformats.org/officeDocument/2006/relationships/image" Target="../media/image2.jpeg"/><Relationship Id="rId9" Type="http://schemas.openxmlformats.org/officeDocument/2006/relationships/hyperlink" Target="file:///C:\Users\DEll%20latitude\OneDrive\Documents\Excel%20Dashboard%20Projects\Marketing%20and%20Customer%20Insights.pdf"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file:///C:\Users\DEll%20latitude\OneDrive\Documents\Excel%20Dashboard%20Projects\Marketing%20and%20Customer%20Insights.pdf" TargetMode="External"/><Relationship Id="rId3" Type="http://schemas.openxmlformats.org/officeDocument/2006/relationships/chart" Target="../charts/chart5.xml"/><Relationship Id="rId7" Type="http://schemas.openxmlformats.org/officeDocument/2006/relationships/hyperlink" Target="#'MARKETING DASHBOARD SHEET'!A1"/><Relationship Id="rId2" Type="http://schemas.microsoft.com/office/2014/relationships/chartEx" Target="../charts/chartEx2.xml"/><Relationship Id="rId1" Type="http://schemas.openxmlformats.org/officeDocument/2006/relationships/chart" Target="../charts/chart4.xml"/><Relationship Id="rId6" Type="http://schemas.openxmlformats.org/officeDocument/2006/relationships/hyperlink" Target="#'CUSTOMER ANALYTICS DASHBOARD'!A1"/><Relationship Id="rId5" Type="http://schemas.openxmlformats.org/officeDocument/2006/relationships/chart" Target="../charts/chart7.xml"/><Relationship Id="rId10" Type="http://schemas.openxmlformats.org/officeDocument/2006/relationships/image" Target="../media/image3.jpeg"/><Relationship Id="rId4" Type="http://schemas.openxmlformats.org/officeDocument/2006/relationships/chart" Target="../charts/chart6.xml"/><Relationship Id="rId9"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254000</xdr:colOff>
      <xdr:row>1</xdr:row>
      <xdr:rowOff>57150</xdr:rowOff>
    </xdr:from>
    <xdr:to>
      <xdr:col>19</xdr:col>
      <xdr:colOff>196850</xdr:colOff>
      <xdr:row>31</xdr:row>
      <xdr:rowOff>114300</xdr:rowOff>
    </xdr:to>
    <xdr:sp macro="" textlink="">
      <xdr:nvSpPr>
        <xdr:cNvPr id="14" name="Rectangle: Rounded Corners 13">
          <a:extLst>
            <a:ext uri="{FF2B5EF4-FFF2-40B4-BE49-F238E27FC236}">
              <a16:creationId xmlns:a16="http://schemas.microsoft.com/office/drawing/2014/main" id="{8977F835-6A07-43AF-8936-1002A7BED043}"/>
            </a:ext>
          </a:extLst>
        </xdr:cNvPr>
        <xdr:cNvSpPr/>
      </xdr:nvSpPr>
      <xdr:spPr>
        <a:xfrm>
          <a:off x="254000" y="241300"/>
          <a:ext cx="11525250" cy="5581650"/>
        </a:xfrm>
        <a:prstGeom prst="roundRect">
          <a:avLst>
            <a:gd name="adj" fmla="val 3733"/>
          </a:avLst>
        </a:prstGeom>
        <a:solidFill>
          <a:srgbClr val="E6FBD9">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100" baseline="0">
              <a:solidFill>
                <a:schemeClr val="tx1"/>
              </a:solidFill>
            </a:rPr>
            <a:t>                 </a:t>
          </a:r>
        </a:p>
        <a:p>
          <a:pPr algn="l"/>
          <a:r>
            <a:rPr lang="en-US" sz="1100" baseline="0">
              <a:solidFill>
                <a:schemeClr val="tx1"/>
              </a:solidFill>
            </a:rPr>
            <a:t>                 </a:t>
          </a:r>
          <a:r>
            <a:rPr lang="en-US" sz="1100" baseline="0">
              <a:solidFill>
                <a:schemeClr val="bg1"/>
              </a:solidFill>
            </a:rPr>
            <a:t>  by Deborah O.</a:t>
          </a:r>
        </a:p>
      </xdr:txBody>
    </xdr:sp>
    <xdr:clientData/>
  </xdr:twoCellAnchor>
  <xdr:twoCellAnchor>
    <xdr:from>
      <xdr:col>6</xdr:col>
      <xdr:colOff>546100</xdr:colOff>
      <xdr:row>0</xdr:row>
      <xdr:rowOff>95249</xdr:rowOff>
    </xdr:from>
    <xdr:to>
      <xdr:col>14</xdr:col>
      <xdr:colOff>241300</xdr:colOff>
      <xdr:row>2</xdr:row>
      <xdr:rowOff>19050</xdr:rowOff>
    </xdr:to>
    <xdr:sp macro="" textlink="">
      <xdr:nvSpPr>
        <xdr:cNvPr id="15" name="Rectangle: Rounded Corners 14">
          <a:extLst>
            <a:ext uri="{FF2B5EF4-FFF2-40B4-BE49-F238E27FC236}">
              <a16:creationId xmlns:a16="http://schemas.microsoft.com/office/drawing/2014/main" id="{2973AA1F-E845-4ED2-87B2-CD35DB2F0451}"/>
            </a:ext>
          </a:extLst>
        </xdr:cNvPr>
        <xdr:cNvSpPr/>
      </xdr:nvSpPr>
      <xdr:spPr>
        <a:xfrm>
          <a:off x="4203700" y="95249"/>
          <a:ext cx="4572000" cy="2921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latin typeface="Bell MT" panose="02020503060305020303" pitchFamily="18" charset="0"/>
            </a:rPr>
            <a:t>MARKETING</a:t>
          </a:r>
          <a:r>
            <a:rPr lang="en-US" sz="1600" b="1" baseline="0">
              <a:solidFill>
                <a:schemeClr val="bg1"/>
              </a:solidFill>
              <a:latin typeface="Bell MT" panose="02020503060305020303" pitchFamily="18" charset="0"/>
            </a:rPr>
            <a:t> PERFORMANCE  DASHBOARD</a:t>
          </a:r>
          <a:endParaRPr lang="en-US" sz="1600" b="1">
            <a:solidFill>
              <a:schemeClr val="bg1"/>
            </a:solidFill>
            <a:latin typeface="Bell MT" panose="02020503060305020303" pitchFamily="18" charset="0"/>
          </a:endParaRPr>
        </a:p>
      </xdr:txBody>
    </xdr:sp>
    <xdr:clientData/>
  </xdr:twoCellAnchor>
  <xdr:twoCellAnchor>
    <xdr:from>
      <xdr:col>3</xdr:col>
      <xdr:colOff>12700</xdr:colOff>
      <xdr:row>3</xdr:row>
      <xdr:rowOff>40067</xdr:rowOff>
    </xdr:from>
    <xdr:to>
      <xdr:col>11</xdr:col>
      <xdr:colOff>25400</xdr:colOff>
      <xdr:row>5</xdr:row>
      <xdr:rowOff>121022</xdr:rowOff>
    </xdr:to>
    <xdr:sp macro="" textlink="">
      <xdr:nvSpPr>
        <xdr:cNvPr id="16" name="Rectangle: Rounded Corners 15">
          <a:extLst>
            <a:ext uri="{FF2B5EF4-FFF2-40B4-BE49-F238E27FC236}">
              <a16:creationId xmlns:a16="http://schemas.microsoft.com/office/drawing/2014/main" id="{289D42DA-1044-4C76-BAD1-CD5A3711FD98}"/>
            </a:ext>
          </a:extLst>
        </xdr:cNvPr>
        <xdr:cNvSpPr/>
      </xdr:nvSpPr>
      <xdr:spPr>
        <a:xfrm>
          <a:off x="1841500" y="592517"/>
          <a:ext cx="4889500" cy="44925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88900</xdr:colOff>
      <xdr:row>6</xdr:row>
      <xdr:rowOff>143789</xdr:rowOff>
    </xdr:from>
    <xdr:to>
      <xdr:col>5</xdr:col>
      <xdr:colOff>400050</xdr:colOff>
      <xdr:row>10</xdr:row>
      <xdr:rowOff>33423</xdr:rowOff>
    </xdr:to>
    <xdr:sp macro="" textlink="">
      <xdr:nvSpPr>
        <xdr:cNvPr id="17" name="Rectangle: Rounded Corners 16">
          <a:extLst>
            <a:ext uri="{FF2B5EF4-FFF2-40B4-BE49-F238E27FC236}">
              <a16:creationId xmlns:a16="http://schemas.microsoft.com/office/drawing/2014/main" id="{F2CA9ECB-B3C0-4010-8DA7-E9D07C3B5016}"/>
            </a:ext>
          </a:extLst>
        </xdr:cNvPr>
        <xdr:cNvSpPr/>
      </xdr:nvSpPr>
      <xdr:spPr>
        <a:xfrm>
          <a:off x="1917700" y="1248689"/>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6</xdr:col>
      <xdr:colOff>293688</xdr:colOff>
      <xdr:row>6</xdr:row>
      <xdr:rowOff>143789</xdr:rowOff>
    </xdr:from>
    <xdr:to>
      <xdr:col>8</xdr:col>
      <xdr:colOff>604838</xdr:colOff>
      <xdr:row>10</xdr:row>
      <xdr:rowOff>33423</xdr:rowOff>
    </xdr:to>
    <xdr:sp macro="" textlink="">
      <xdr:nvSpPr>
        <xdr:cNvPr id="18" name="Rectangle: Rounded Corners 17">
          <a:extLst>
            <a:ext uri="{FF2B5EF4-FFF2-40B4-BE49-F238E27FC236}">
              <a16:creationId xmlns:a16="http://schemas.microsoft.com/office/drawing/2014/main" id="{0FB8283C-B5BC-4B9E-B487-F8B5C7FAC149}"/>
            </a:ext>
          </a:extLst>
        </xdr:cNvPr>
        <xdr:cNvSpPr/>
      </xdr:nvSpPr>
      <xdr:spPr>
        <a:xfrm>
          <a:off x="3951288" y="1248689"/>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498476</xdr:colOff>
      <xdr:row>6</xdr:row>
      <xdr:rowOff>143789</xdr:rowOff>
    </xdr:from>
    <xdr:to>
      <xdr:col>12</xdr:col>
      <xdr:colOff>200026</xdr:colOff>
      <xdr:row>10</xdr:row>
      <xdr:rowOff>33423</xdr:rowOff>
    </xdr:to>
    <xdr:sp macro="" textlink="">
      <xdr:nvSpPr>
        <xdr:cNvPr id="19" name="Rectangle: Rounded Corners 18">
          <a:extLst>
            <a:ext uri="{FF2B5EF4-FFF2-40B4-BE49-F238E27FC236}">
              <a16:creationId xmlns:a16="http://schemas.microsoft.com/office/drawing/2014/main" id="{DDE67461-1ABC-40FD-B932-15062EA5CC44}"/>
            </a:ext>
          </a:extLst>
        </xdr:cNvPr>
        <xdr:cNvSpPr/>
      </xdr:nvSpPr>
      <xdr:spPr>
        <a:xfrm>
          <a:off x="5984876" y="1248689"/>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solidFill>
              <a:sysClr val="windowText" lastClr="000000"/>
            </a:solidFill>
          </a:endParaRPr>
        </a:p>
      </xdr:txBody>
    </xdr:sp>
    <xdr:clientData/>
  </xdr:twoCellAnchor>
  <xdr:twoCellAnchor>
    <xdr:from>
      <xdr:col>13</xdr:col>
      <xdr:colOff>93664</xdr:colOff>
      <xdr:row>6</xdr:row>
      <xdr:rowOff>143789</xdr:rowOff>
    </xdr:from>
    <xdr:to>
      <xdr:col>15</xdr:col>
      <xdr:colOff>404814</xdr:colOff>
      <xdr:row>10</xdr:row>
      <xdr:rowOff>33423</xdr:rowOff>
    </xdr:to>
    <xdr:sp macro="" textlink="">
      <xdr:nvSpPr>
        <xdr:cNvPr id="20" name="Rectangle: Rounded Corners 19">
          <a:extLst>
            <a:ext uri="{FF2B5EF4-FFF2-40B4-BE49-F238E27FC236}">
              <a16:creationId xmlns:a16="http://schemas.microsoft.com/office/drawing/2014/main" id="{72585740-DA35-408B-9914-30A231BE3108}"/>
            </a:ext>
          </a:extLst>
        </xdr:cNvPr>
        <xdr:cNvSpPr/>
      </xdr:nvSpPr>
      <xdr:spPr>
        <a:xfrm>
          <a:off x="8018464" y="1248689"/>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298450</xdr:colOff>
      <xdr:row>6</xdr:row>
      <xdr:rowOff>143789</xdr:rowOff>
    </xdr:from>
    <xdr:to>
      <xdr:col>19</xdr:col>
      <xdr:colOff>0</xdr:colOff>
      <xdr:row>10</xdr:row>
      <xdr:rowOff>33423</xdr:rowOff>
    </xdr:to>
    <xdr:sp macro="" textlink="">
      <xdr:nvSpPr>
        <xdr:cNvPr id="21" name="Rectangle: Rounded Corners 20">
          <a:extLst>
            <a:ext uri="{FF2B5EF4-FFF2-40B4-BE49-F238E27FC236}">
              <a16:creationId xmlns:a16="http://schemas.microsoft.com/office/drawing/2014/main" id="{EBB77B26-B2D2-4894-B26C-4A24A2E03639}"/>
            </a:ext>
          </a:extLst>
        </xdr:cNvPr>
        <xdr:cNvSpPr/>
      </xdr:nvSpPr>
      <xdr:spPr>
        <a:xfrm>
          <a:off x="10052050" y="1248689"/>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xdr:colOff>
      <xdr:row>10</xdr:row>
      <xdr:rowOff>152779</xdr:rowOff>
    </xdr:from>
    <xdr:to>
      <xdr:col>7</xdr:col>
      <xdr:colOff>552450</xdr:colOff>
      <xdr:row>20</xdr:row>
      <xdr:rowOff>155947</xdr:rowOff>
    </xdr:to>
    <xdr:sp macro="" textlink="">
      <xdr:nvSpPr>
        <xdr:cNvPr id="22" name="Rectangle: Rounded Corners 21">
          <a:extLst>
            <a:ext uri="{FF2B5EF4-FFF2-40B4-BE49-F238E27FC236}">
              <a16:creationId xmlns:a16="http://schemas.microsoft.com/office/drawing/2014/main" id="{227C741F-9731-40BB-9D8C-086FDE4AC3B7}"/>
            </a:ext>
          </a:extLst>
        </xdr:cNvPr>
        <xdr:cNvSpPr/>
      </xdr:nvSpPr>
      <xdr:spPr>
        <a:xfrm>
          <a:off x="1879600" y="1994279"/>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25400</xdr:colOff>
      <xdr:row>10</xdr:row>
      <xdr:rowOff>152779</xdr:rowOff>
    </xdr:from>
    <xdr:to>
      <xdr:col>12</xdr:col>
      <xdr:colOff>596900</xdr:colOff>
      <xdr:row>20</xdr:row>
      <xdr:rowOff>155947</xdr:rowOff>
    </xdr:to>
    <xdr:sp macro="" textlink="">
      <xdr:nvSpPr>
        <xdr:cNvPr id="23" name="Rectangle: Rounded Corners 22">
          <a:extLst>
            <a:ext uri="{FF2B5EF4-FFF2-40B4-BE49-F238E27FC236}">
              <a16:creationId xmlns:a16="http://schemas.microsoft.com/office/drawing/2014/main" id="{B2D8BF38-96DE-476D-BB93-CEE6FE76411A}"/>
            </a:ext>
          </a:extLst>
        </xdr:cNvPr>
        <xdr:cNvSpPr/>
      </xdr:nvSpPr>
      <xdr:spPr>
        <a:xfrm>
          <a:off x="4902200" y="1994279"/>
          <a:ext cx="300990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21</xdr:row>
      <xdr:rowOff>32129</xdr:rowOff>
    </xdr:from>
    <xdr:to>
      <xdr:col>7</xdr:col>
      <xdr:colOff>565150</xdr:colOff>
      <xdr:row>31</xdr:row>
      <xdr:rowOff>35297</xdr:rowOff>
    </xdr:to>
    <xdr:sp macro="" textlink="">
      <xdr:nvSpPr>
        <xdr:cNvPr id="24" name="Rectangle: Rounded Corners 23">
          <a:extLst>
            <a:ext uri="{FF2B5EF4-FFF2-40B4-BE49-F238E27FC236}">
              <a16:creationId xmlns:a16="http://schemas.microsoft.com/office/drawing/2014/main" id="{77531CA7-B67D-4B8D-9958-89E9570B34DE}"/>
            </a:ext>
          </a:extLst>
        </xdr:cNvPr>
        <xdr:cNvSpPr/>
      </xdr:nvSpPr>
      <xdr:spPr>
        <a:xfrm>
          <a:off x="1892300" y="3899279"/>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69850</xdr:colOff>
      <xdr:row>10</xdr:row>
      <xdr:rowOff>158749</xdr:rowOff>
    </xdr:from>
    <xdr:to>
      <xdr:col>19</xdr:col>
      <xdr:colOff>63500</xdr:colOff>
      <xdr:row>31</xdr:row>
      <xdr:rowOff>16974</xdr:rowOff>
    </xdr:to>
    <xdr:sp macro="" textlink="">
      <xdr:nvSpPr>
        <xdr:cNvPr id="25" name="Rectangle: Rounded Corners 24">
          <a:extLst>
            <a:ext uri="{FF2B5EF4-FFF2-40B4-BE49-F238E27FC236}">
              <a16:creationId xmlns:a16="http://schemas.microsoft.com/office/drawing/2014/main" id="{EAC1DF0E-3880-40D2-B0B1-0185CA37D477}"/>
            </a:ext>
          </a:extLst>
        </xdr:cNvPr>
        <xdr:cNvSpPr/>
      </xdr:nvSpPr>
      <xdr:spPr>
        <a:xfrm>
          <a:off x="7994650" y="2000249"/>
          <a:ext cx="3651250" cy="3725375"/>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xdr:colOff>
      <xdr:row>21</xdr:row>
      <xdr:rowOff>32129</xdr:rowOff>
    </xdr:from>
    <xdr:to>
      <xdr:col>12</xdr:col>
      <xdr:colOff>558800</xdr:colOff>
      <xdr:row>31</xdr:row>
      <xdr:rowOff>35297</xdr:rowOff>
    </xdr:to>
    <xdr:sp macro="" textlink="">
      <xdr:nvSpPr>
        <xdr:cNvPr id="61" name="Rectangle: Rounded Corners 60">
          <a:extLst>
            <a:ext uri="{FF2B5EF4-FFF2-40B4-BE49-F238E27FC236}">
              <a16:creationId xmlns:a16="http://schemas.microsoft.com/office/drawing/2014/main" id="{1925CCD8-6061-9BE3-BCE5-E9A345903E71}"/>
            </a:ext>
          </a:extLst>
        </xdr:cNvPr>
        <xdr:cNvSpPr/>
      </xdr:nvSpPr>
      <xdr:spPr>
        <a:xfrm>
          <a:off x="4933950" y="3899279"/>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374650</xdr:colOff>
      <xdr:row>7</xdr:row>
      <xdr:rowOff>12700</xdr:rowOff>
    </xdr:from>
    <xdr:to>
      <xdr:col>5</xdr:col>
      <xdr:colOff>298450</xdr:colOff>
      <xdr:row>8</xdr:row>
      <xdr:rowOff>139700</xdr:rowOff>
    </xdr:to>
    <xdr:sp macro="" textlink="' Marketing  pivot sheet'!B5">
      <xdr:nvSpPr>
        <xdr:cNvPr id="2" name="TextBox 1">
          <a:extLst>
            <a:ext uri="{FF2B5EF4-FFF2-40B4-BE49-F238E27FC236}">
              <a16:creationId xmlns:a16="http://schemas.microsoft.com/office/drawing/2014/main" id="{F3D628C2-4042-68C3-20A1-336E2D1DDEEC}"/>
            </a:ext>
          </a:extLst>
        </xdr:cNvPr>
        <xdr:cNvSpPr txBox="1"/>
      </xdr:nvSpPr>
      <xdr:spPr>
        <a:xfrm>
          <a:off x="2203450" y="1301750"/>
          <a:ext cx="1143000" cy="311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B1C852-5CA8-485E-BA79-8D479A34C900}" type="TxLink">
            <a:rPr lang="en-US" sz="2000" b="1" i="0" u="none" strike="noStrike">
              <a:solidFill>
                <a:srgbClr val="000000"/>
              </a:solidFill>
              <a:latin typeface="+mn-lt"/>
              <a:cs typeface="Calibri"/>
            </a:rPr>
            <a:pPr/>
            <a:t>$1.52M</a:t>
          </a:fld>
          <a:endParaRPr lang="en-US" sz="2000" b="1">
            <a:latin typeface="+mn-lt"/>
          </a:endParaRPr>
        </a:p>
      </xdr:txBody>
    </xdr:sp>
    <xdr:clientData/>
  </xdr:twoCellAnchor>
  <xdr:twoCellAnchor>
    <xdr:from>
      <xdr:col>3</xdr:col>
      <xdr:colOff>482600</xdr:colOff>
      <xdr:row>8</xdr:row>
      <xdr:rowOff>158750</xdr:rowOff>
    </xdr:from>
    <xdr:to>
      <xdr:col>5</xdr:col>
      <xdr:colOff>311150</xdr:colOff>
      <xdr:row>10</xdr:row>
      <xdr:rowOff>19050</xdr:rowOff>
    </xdr:to>
    <xdr:sp macro="" textlink="">
      <xdr:nvSpPr>
        <xdr:cNvPr id="4" name="TextBox 3">
          <a:extLst>
            <a:ext uri="{FF2B5EF4-FFF2-40B4-BE49-F238E27FC236}">
              <a16:creationId xmlns:a16="http://schemas.microsoft.com/office/drawing/2014/main" id="{1CB6402C-2C5E-4233-DCCD-3C87F269D241}"/>
            </a:ext>
          </a:extLst>
        </xdr:cNvPr>
        <xdr:cNvSpPr txBox="1"/>
      </xdr:nvSpPr>
      <xdr:spPr>
        <a:xfrm>
          <a:off x="2311400" y="1631950"/>
          <a:ext cx="10477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Condensed" panose="020B0502040204020203" pitchFamily="34" charset="0"/>
            </a:rPr>
            <a:t>Total</a:t>
          </a:r>
          <a:r>
            <a:rPr lang="en-US" sz="900" b="1" baseline="0">
              <a:latin typeface="Bahnschrift SemiCondensed" panose="020B0502040204020203" pitchFamily="34" charset="0"/>
            </a:rPr>
            <a:t> Ad Spend</a:t>
          </a:r>
          <a:endParaRPr lang="en-US" sz="900" b="1">
            <a:latin typeface="Bahnschrift SemiCondensed" panose="020B0502040204020203" pitchFamily="34" charset="0"/>
          </a:endParaRPr>
        </a:p>
      </xdr:txBody>
    </xdr:sp>
    <xdr:clientData/>
  </xdr:twoCellAnchor>
  <xdr:twoCellAnchor>
    <xdr:from>
      <xdr:col>7</xdr:col>
      <xdr:colOff>95250</xdr:colOff>
      <xdr:row>7</xdr:row>
      <xdr:rowOff>12700</xdr:rowOff>
    </xdr:from>
    <xdr:to>
      <xdr:col>8</xdr:col>
      <xdr:colOff>431800</xdr:colOff>
      <xdr:row>8</xdr:row>
      <xdr:rowOff>177800</xdr:rowOff>
    </xdr:to>
    <xdr:sp macro="" textlink="' Marketing  pivot sheet'!B32">
      <xdr:nvSpPr>
        <xdr:cNvPr id="10" name="TextBox 9">
          <a:extLst>
            <a:ext uri="{FF2B5EF4-FFF2-40B4-BE49-F238E27FC236}">
              <a16:creationId xmlns:a16="http://schemas.microsoft.com/office/drawing/2014/main" id="{05375CBA-08B6-239F-01DC-E72E28287DA6}"/>
            </a:ext>
          </a:extLst>
        </xdr:cNvPr>
        <xdr:cNvSpPr txBox="1"/>
      </xdr:nvSpPr>
      <xdr:spPr>
        <a:xfrm>
          <a:off x="4362450" y="1301750"/>
          <a:ext cx="946150" cy="3492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933A51-2BA1-4CE1-8FF2-36EA64F5B073}" type="TxLink">
            <a:rPr lang="en-US" sz="2000" b="1" i="0" u="none" strike="noStrike">
              <a:solidFill>
                <a:srgbClr val="00B050"/>
              </a:solidFill>
              <a:latin typeface="Calibri"/>
              <a:cs typeface="Calibri"/>
            </a:rPr>
            <a:pPr/>
            <a:t>10.5%</a:t>
          </a:fld>
          <a:endParaRPr lang="en-US" sz="2000" b="1">
            <a:solidFill>
              <a:srgbClr val="00B050"/>
            </a:solidFill>
            <a:latin typeface="+mn-lt"/>
          </a:endParaRPr>
        </a:p>
      </xdr:txBody>
    </xdr:sp>
    <xdr:clientData/>
  </xdr:twoCellAnchor>
  <xdr:twoCellAnchor>
    <xdr:from>
      <xdr:col>6</xdr:col>
      <xdr:colOff>520700</xdr:colOff>
      <xdr:row>8</xdr:row>
      <xdr:rowOff>158750</xdr:rowOff>
    </xdr:from>
    <xdr:to>
      <xdr:col>8</xdr:col>
      <xdr:colOff>527050</xdr:colOff>
      <xdr:row>9</xdr:row>
      <xdr:rowOff>177800</xdr:rowOff>
    </xdr:to>
    <xdr:sp macro="" textlink="">
      <xdr:nvSpPr>
        <xdr:cNvPr id="11" name="TextBox 10">
          <a:extLst>
            <a:ext uri="{FF2B5EF4-FFF2-40B4-BE49-F238E27FC236}">
              <a16:creationId xmlns:a16="http://schemas.microsoft.com/office/drawing/2014/main" id="{8EFF37F2-6C70-6EF4-1FDC-20FA8C21A121}"/>
            </a:ext>
          </a:extLst>
        </xdr:cNvPr>
        <xdr:cNvSpPr txBox="1"/>
      </xdr:nvSpPr>
      <xdr:spPr>
        <a:xfrm>
          <a:off x="4178300" y="1631950"/>
          <a:ext cx="122555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Condensed" panose="020B0502040204020203" pitchFamily="34" charset="0"/>
            </a:rPr>
            <a:t>Avg</a:t>
          </a:r>
          <a:r>
            <a:rPr lang="en-US" sz="900" b="1" baseline="0">
              <a:latin typeface="Bahnschrift SemiCondensed" panose="020B0502040204020203" pitchFamily="34" charset="0"/>
            </a:rPr>
            <a:t> Conversion Rate</a:t>
          </a:r>
          <a:endParaRPr lang="en-US" sz="900" b="1">
            <a:latin typeface="Bahnschrift SemiCondensed" panose="020B0502040204020203" pitchFamily="34" charset="0"/>
          </a:endParaRPr>
        </a:p>
      </xdr:txBody>
    </xdr:sp>
    <xdr:clientData/>
  </xdr:twoCellAnchor>
  <xdr:twoCellAnchor>
    <xdr:from>
      <xdr:col>10</xdr:col>
      <xdr:colOff>323850</xdr:colOff>
      <xdr:row>6</xdr:row>
      <xdr:rowOff>165100</xdr:rowOff>
    </xdr:from>
    <xdr:to>
      <xdr:col>11</xdr:col>
      <xdr:colOff>488950</xdr:colOff>
      <xdr:row>8</xdr:row>
      <xdr:rowOff>146050</xdr:rowOff>
    </xdr:to>
    <xdr:sp macro="" textlink="' Marketing  pivot sheet'!B38">
      <xdr:nvSpPr>
        <xdr:cNvPr id="12" name="TextBox 11">
          <a:extLst>
            <a:ext uri="{FF2B5EF4-FFF2-40B4-BE49-F238E27FC236}">
              <a16:creationId xmlns:a16="http://schemas.microsoft.com/office/drawing/2014/main" id="{A3F91C9F-6F8D-5F1D-923D-0FF916FD520B}"/>
            </a:ext>
          </a:extLst>
        </xdr:cNvPr>
        <xdr:cNvSpPr txBox="1"/>
      </xdr:nvSpPr>
      <xdr:spPr>
        <a:xfrm>
          <a:off x="6419850" y="1270000"/>
          <a:ext cx="774700"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3C5FB0-7D83-4DA2-873F-AB1B061CD0DC}" type="TxLink">
            <a:rPr lang="en-US" sz="2000" b="1" i="0" u="none" strike="noStrike">
              <a:solidFill>
                <a:srgbClr val="000000"/>
              </a:solidFill>
              <a:latin typeface="Calibri"/>
              <a:cs typeface="Calibri"/>
            </a:rPr>
            <a:pPr/>
            <a:t>8026</a:t>
          </a:fld>
          <a:endParaRPr lang="en-US" sz="2000" b="1"/>
        </a:p>
      </xdr:txBody>
    </xdr:sp>
    <xdr:clientData/>
  </xdr:twoCellAnchor>
  <xdr:twoCellAnchor>
    <xdr:from>
      <xdr:col>10</xdr:col>
      <xdr:colOff>152400</xdr:colOff>
      <xdr:row>8</xdr:row>
      <xdr:rowOff>127001</xdr:rowOff>
    </xdr:from>
    <xdr:to>
      <xdr:col>12</xdr:col>
      <xdr:colOff>88900</xdr:colOff>
      <xdr:row>9</xdr:row>
      <xdr:rowOff>158750</xdr:rowOff>
    </xdr:to>
    <xdr:sp macro="" textlink="">
      <xdr:nvSpPr>
        <xdr:cNvPr id="13" name="TextBox 12">
          <a:extLst>
            <a:ext uri="{FF2B5EF4-FFF2-40B4-BE49-F238E27FC236}">
              <a16:creationId xmlns:a16="http://schemas.microsoft.com/office/drawing/2014/main" id="{C836615B-EDD2-176D-208B-3F6D357F1FA9}"/>
            </a:ext>
          </a:extLst>
        </xdr:cNvPr>
        <xdr:cNvSpPr txBox="1"/>
      </xdr:nvSpPr>
      <xdr:spPr>
        <a:xfrm>
          <a:off x="6248400" y="1600201"/>
          <a:ext cx="1155700" cy="2158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Condensed" panose="020B0502040204020203" pitchFamily="34" charset="0"/>
            </a:rPr>
            <a:t>Total</a:t>
          </a:r>
          <a:r>
            <a:rPr lang="en-US" sz="900" b="1" baseline="0">
              <a:latin typeface="Bahnschrift SemiCondensed" panose="020B0502040204020203" pitchFamily="34" charset="0"/>
            </a:rPr>
            <a:t> Website Visits</a:t>
          </a:r>
          <a:endParaRPr lang="en-US" sz="900" b="1">
            <a:latin typeface="Bahnschrift SemiCondensed" panose="020B0502040204020203" pitchFamily="34" charset="0"/>
          </a:endParaRPr>
        </a:p>
      </xdr:txBody>
    </xdr:sp>
    <xdr:clientData/>
  </xdr:twoCellAnchor>
  <xdr:twoCellAnchor>
    <xdr:from>
      <xdr:col>13</xdr:col>
      <xdr:colOff>603250</xdr:colOff>
      <xdr:row>6</xdr:row>
      <xdr:rowOff>165100</xdr:rowOff>
    </xdr:from>
    <xdr:to>
      <xdr:col>15</xdr:col>
      <xdr:colOff>127000</xdr:colOff>
      <xdr:row>8</xdr:row>
      <xdr:rowOff>139700</xdr:rowOff>
    </xdr:to>
    <xdr:sp macro="" textlink="' Marketing  pivot sheet'!B18">
      <xdr:nvSpPr>
        <xdr:cNvPr id="26" name="TextBox 25">
          <a:extLst>
            <a:ext uri="{FF2B5EF4-FFF2-40B4-BE49-F238E27FC236}">
              <a16:creationId xmlns:a16="http://schemas.microsoft.com/office/drawing/2014/main" id="{EB5A0EB9-F617-9DF5-6CC9-DA4F030AAB9D}"/>
            </a:ext>
          </a:extLst>
        </xdr:cNvPr>
        <xdr:cNvSpPr txBox="1"/>
      </xdr:nvSpPr>
      <xdr:spPr>
        <a:xfrm>
          <a:off x="8528050" y="1270000"/>
          <a:ext cx="7429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F89DC2-F1DC-46DC-B395-A3F555FCF807}" type="TxLink">
            <a:rPr lang="en-US" sz="2000" b="1" i="0" u="none" strike="noStrike">
              <a:solidFill>
                <a:srgbClr val="C00000"/>
              </a:solidFill>
              <a:latin typeface="Calibri"/>
              <a:cs typeface="Calibri"/>
            </a:rPr>
            <a:pPr/>
            <a:t>295</a:t>
          </a:fld>
          <a:endParaRPr lang="en-US" sz="2000" b="1">
            <a:solidFill>
              <a:srgbClr val="C00000"/>
            </a:solidFill>
          </a:endParaRPr>
        </a:p>
      </xdr:txBody>
    </xdr:sp>
    <xdr:clientData/>
  </xdr:twoCellAnchor>
  <xdr:twoCellAnchor>
    <xdr:from>
      <xdr:col>13</xdr:col>
      <xdr:colOff>400050</xdr:colOff>
      <xdr:row>8</xdr:row>
      <xdr:rowOff>114300</xdr:rowOff>
    </xdr:from>
    <xdr:to>
      <xdr:col>15</xdr:col>
      <xdr:colOff>311150</xdr:colOff>
      <xdr:row>10</xdr:row>
      <xdr:rowOff>6350</xdr:rowOff>
    </xdr:to>
    <xdr:sp macro="" textlink="">
      <xdr:nvSpPr>
        <xdr:cNvPr id="27" name="TextBox 26">
          <a:extLst>
            <a:ext uri="{FF2B5EF4-FFF2-40B4-BE49-F238E27FC236}">
              <a16:creationId xmlns:a16="http://schemas.microsoft.com/office/drawing/2014/main" id="{41DCD9D1-829D-5675-2FD8-F987C2905798}"/>
            </a:ext>
          </a:extLst>
        </xdr:cNvPr>
        <xdr:cNvSpPr txBox="1"/>
      </xdr:nvSpPr>
      <xdr:spPr>
        <a:xfrm>
          <a:off x="8324850" y="1587500"/>
          <a:ext cx="113030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Condensed" panose="020B0502040204020203" pitchFamily="34" charset="0"/>
            </a:rPr>
            <a:t>Total Conversions</a:t>
          </a:r>
        </a:p>
      </xdr:txBody>
    </xdr:sp>
    <xdr:clientData/>
  </xdr:twoCellAnchor>
  <xdr:twoCellAnchor>
    <xdr:from>
      <xdr:col>17</xdr:col>
      <xdr:colOff>12700</xdr:colOff>
      <xdr:row>6</xdr:row>
      <xdr:rowOff>158750</xdr:rowOff>
    </xdr:from>
    <xdr:to>
      <xdr:col>18</xdr:col>
      <xdr:colOff>425450</xdr:colOff>
      <xdr:row>8</xdr:row>
      <xdr:rowOff>139700</xdr:rowOff>
    </xdr:to>
    <xdr:sp macro="" textlink="' Marketing  pivot sheet'!B25">
      <xdr:nvSpPr>
        <xdr:cNvPr id="31" name="TextBox 30">
          <a:extLst>
            <a:ext uri="{FF2B5EF4-FFF2-40B4-BE49-F238E27FC236}">
              <a16:creationId xmlns:a16="http://schemas.microsoft.com/office/drawing/2014/main" id="{7118236E-B752-1667-E2CF-853CDEF7427A}"/>
            </a:ext>
          </a:extLst>
        </xdr:cNvPr>
        <xdr:cNvSpPr txBox="1"/>
      </xdr:nvSpPr>
      <xdr:spPr>
        <a:xfrm>
          <a:off x="10375900" y="1263650"/>
          <a:ext cx="1022350"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04DD2A-8636-4577-AAB7-A866F47D032B}" type="TxLink">
            <a:rPr lang="en-US" sz="2000" b="1" i="0" u="none" strike="noStrike">
              <a:solidFill>
                <a:sysClr val="windowText" lastClr="000000"/>
              </a:solidFill>
              <a:latin typeface="Calibri"/>
              <a:cs typeface="Calibri"/>
            </a:rPr>
            <a:pPr/>
            <a:t>5.15 K</a:t>
          </a:fld>
          <a:endParaRPr lang="en-US" sz="1100">
            <a:solidFill>
              <a:sysClr val="windowText" lastClr="000000"/>
            </a:solidFill>
          </a:endParaRPr>
        </a:p>
      </xdr:txBody>
    </xdr:sp>
    <xdr:clientData/>
  </xdr:twoCellAnchor>
  <xdr:twoCellAnchor>
    <xdr:from>
      <xdr:col>17</xdr:col>
      <xdr:colOff>228600</xdr:colOff>
      <xdr:row>8</xdr:row>
      <xdr:rowOff>120650</xdr:rowOff>
    </xdr:from>
    <xdr:to>
      <xdr:col>18</xdr:col>
      <xdr:colOff>133350</xdr:colOff>
      <xdr:row>9</xdr:row>
      <xdr:rowOff>171450</xdr:rowOff>
    </xdr:to>
    <xdr:sp macro="" textlink="">
      <xdr:nvSpPr>
        <xdr:cNvPr id="32" name="TextBox 31">
          <a:extLst>
            <a:ext uri="{FF2B5EF4-FFF2-40B4-BE49-F238E27FC236}">
              <a16:creationId xmlns:a16="http://schemas.microsoft.com/office/drawing/2014/main" id="{BD8C67AD-FDA0-2FF0-452E-1554E1611FEB}"/>
            </a:ext>
          </a:extLst>
        </xdr:cNvPr>
        <xdr:cNvSpPr txBox="1"/>
      </xdr:nvSpPr>
      <xdr:spPr>
        <a:xfrm>
          <a:off x="10591800" y="1593850"/>
          <a:ext cx="5143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Condensed" panose="020B0502040204020203" pitchFamily="34" charset="0"/>
            </a:rPr>
            <a:t>CPA</a:t>
          </a:r>
        </a:p>
      </xdr:txBody>
    </xdr:sp>
    <xdr:clientData/>
  </xdr:twoCellAnchor>
  <xdr:twoCellAnchor>
    <xdr:from>
      <xdr:col>11</xdr:col>
      <xdr:colOff>50800</xdr:colOff>
      <xdr:row>3</xdr:row>
      <xdr:rowOff>52767</xdr:rowOff>
    </xdr:from>
    <xdr:to>
      <xdr:col>19</xdr:col>
      <xdr:colOff>63500</xdr:colOff>
      <xdr:row>5</xdr:row>
      <xdr:rowOff>133722</xdr:rowOff>
    </xdr:to>
    <xdr:sp macro="" textlink="">
      <xdr:nvSpPr>
        <xdr:cNvPr id="36" name="Rectangle: Rounded Corners 35">
          <a:extLst>
            <a:ext uri="{FF2B5EF4-FFF2-40B4-BE49-F238E27FC236}">
              <a16:creationId xmlns:a16="http://schemas.microsoft.com/office/drawing/2014/main" id="{87D3C32B-E448-8C78-6158-EBEA95FF20C5}"/>
            </a:ext>
          </a:extLst>
        </xdr:cNvPr>
        <xdr:cNvSpPr/>
      </xdr:nvSpPr>
      <xdr:spPr>
        <a:xfrm>
          <a:off x="6756400" y="605217"/>
          <a:ext cx="4889500" cy="44925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82550</xdr:colOff>
      <xdr:row>3</xdr:row>
      <xdr:rowOff>57150</xdr:rowOff>
    </xdr:from>
    <xdr:to>
      <xdr:col>19</xdr:col>
      <xdr:colOff>0</xdr:colOff>
      <xdr:row>5</xdr:row>
      <xdr:rowOff>120650</xdr:rowOff>
    </xdr:to>
    <mc:AlternateContent xmlns:mc="http://schemas.openxmlformats.org/markup-compatibility/2006" xmlns:a14="http://schemas.microsoft.com/office/drawing/2010/main">
      <mc:Choice Requires="a14">
        <xdr:graphicFrame macro="">
          <xdr:nvGraphicFramePr>
            <xdr:cNvPr id="37" name="CampaignType">
              <a:extLst>
                <a:ext uri="{FF2B5EF4-FFF2-40B4-BE49-F238E27FC236}">
                  <a16:creationId xmlns:a16="http://schemas.microsoft.com/office/drawing/2014/main" id="{D23321C9-4A61-476E-BD5C-AF950C60421B}"/>
                </a:ext>
              </a:extLst>
            </xdr:cNvPr>
            <xdr:cNvGraphicFramePr/>
          </xdr:nvGraphicFramePr>
          <xdr:xfrm>
            <a:off x="0" y="0"/>
            <a:ext cx="0" cy="0"/>
          </xdr:xfrm>
          <a:graphic>
            <a:graphicData uri="http://schemas.microsoft.com/office/drawing/2010/slicer">
              <sle:slicer xmlns:sle="http://schemas.microsoft.com/office/drawing/2010/slicer" name="CampaignType"/>
            </a:graphicData>
          </a:graphic>
        </xdr:graphicFrame>
      </mc:Choice>
      <mc:Fallback xmlns="">
        <xdr:sp macro="" textlink="">
          <xdr:nvSpPr>
            <xdr:cNvPr id="0" name=""/>
            <xdr:cNvSpPr>
              <a:spLocks noTextEdit="1"/>
            </xdr:cNvSpPr>
          </xdr:nvSpPr>
          <xdr:spPr>
            <a:xfrm>
              <a:off x="6788150" y="609600"/>
              <a:ext cx="4794250" cy="43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146050</xdr:colOff>
          <xdr:row>22</xdr:row>
          <xdr:rowOff>95250</xdr:rowOff>
        </xdr:from>
        <xdr:to>
          <xdr:col>7</xdr:col>
          <xdr:colOff>527050</xdr:colOff>
          <xdr:row>29</xdr:row>
          <xdr:rowOff>31750</xdr:rowOff>
        </xdr:to>
        <xdr:pic>
          <xdr:nvPicPr>
            <xdr:cNvPr id="28" name="Picture 27">
              <a:extLst>
                <a:ext uri="{FF2B5EF4-FFF2-40B4-BE49-F238E27FC236}">
                  <a16:creationId xmlns:a16="http://schemas.microsoft.com/office/drawing/2014/main" id="{7D7CD1E7-7414-820E-6ACB-A11023635593}"/>
                </a:ext>
              </a:extLst>
            </xdr:cNvPr>
            <xdr:cNvPicPr>
              <a:picLocks noChangeAspect="1" noChangeArrowheads="1"/>
              <a:extLst>
                <a:ext uri="{84589F7E-364E-4C9E-8A38-B11213B215E9}">
                  <a14:cameraTool cellRange="' Marketing  pivot sheet'!U5:W10" spid="_x0000_s1114"/>
                </a:ext>
              </a:extLst>
            </xdr:cNvPicPr>
          </xdr:nvPicPr>
          <xdr:blipFill>
            <a:blip xmlns:r="http://schemas.openxmlformats.org/officeDocument/2006/relationships" r:embed="rId1"/>
            <a:srcRect/>
            <a:stretch>
              <a:fillRect/>
            </a:stretch>
          </xdr:blipFill>
          <xdr:spPr bwMode="auto">
            <a:xfrm>
              <a:off x="1974850" y="4146550"/>
              <a:ext cx="2819400" cy="1225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63500</xdr:colOff>
      <xdr:row>22</xdr:row>
      <xdr:rowOff>127000</xdr:rowOff>
    </xdr:from>
    <xdr:to>
      <xdr:col>12</xdr:col>
      <xdr:colOff>546100</xdr:colOff>
      <xdr:row>31</xdr:row>
      <xdr:rowOff>6350</xdr:rowOff>
    </xdr:to>
    <xdr:graphicFrame macro="">
      <xdr:nvGraphicFramePr>
        <xdr:cNvPr id="29" name="Chart 28">
          <a:extLst>
            <a:ext uri="{FF2B5EF4-FFF2-40B4-BE49-F238E27FC236}">
              <a16:creationId xmlns:a16="http://schemas.microsoft.com/office/drawing/2014/main" id="{EA78A9A6-6A8B-48D4-AD9C-B11919DB2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107950</xdr:colOff>
      <xdr:row>12</xdr:row>
      <xdr:rowOff>133349</xdr:rowOff>
    </xdr:from>
    <xdr:to>
      <xdr:col>12</xdr:col>
      <xdr:colOff>539750</xdr:colOff>
      <xdr:row>20</xdr:row>
      <xdr:rowOff>107950</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D86F7872-92BE-4242-BE43-96CBF3D73F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84750" y="2343149"/>
              <a:ext cx="2870200" cy="14478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139700</xdr:colOff>
      <xdr:row>27</xdr:row>
      <xdr:rowOff>44450</xdr:rowOff>
    </xdr:from>
    <xdr:to>
      <xdr:col>2</xdr:col>
      <xdr:colOff>527050</xdr:colOff>
      <xdr:row>29</xdr:row>
      <xdr:rowOff>107950</xdr:rowOff>
    </xdr:to>
    <xdr:pic>
      <xdr:nvPicPr>
        <xdr:cNvPr id="49" name="Picture 48">
          <a:extLst>
            <a:ext uri="{FF2B5EF4-FFF2-40B4-BE49-F238E27FC236}">
              <a16:creationId xmlns:a16="http://schemas.microsoft.com/office/drawing/2014/main" id="{46FD5F61-3F1A-FC2D-7D11-94DB47FE30E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58900" y="5016500"/>
          <a:ext cx="387350" cy="431800"/>
        </a:xfrm>
        <a:prstGeom prst="rect">
          <a:avLst/>
        </a:prstGeom>
      </xdr:spPr>
    </xdr:pic>
    <xdr:clientData/>
  </xdr:twoCellAnchor>
  <xdr:twoCellAnchor>
    <xdr:from>
      <xdr:col>3</xdr:col>
      <xdr:colOff>133350</xdr:colOff>
      <xdr:row>11</xdr:row>
      <xdr:rowOff>19050</xdr:rowOff>
    </xdr:from>
    <xdr:to>
      <xdr:col>7</xdr:col>
      <xdr:colOff>463550</xdr:colOff>
      <xdr:row>20</xdr:row>
      <xdr:rowOff>146050</xdr:rowOff>
    </xdr:to>
    <xdr:graphicFrame macro="">
      <xdr:nvGraphicFramePr>
        <xdr:cNvPr id="8" name="Chart 7">
          <a:extLst>
            <a:ext uri="{FF2B5EF4-FFF2-40B4-BE49-F238E27FC236}">
              <a16:creationId xmlns:a16="http://schemas.microsoft.com/office/drawing/2014/main" id="{1020D209-BEF4-438E-9D84-75F0A0920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12</xdr:row>
      <xdr:rowOff>38100</xdr:rowOff>
    </xdr:from>
    <xdr:to>
      <xdr:col>19</xdr:col>
      <xdr:colOff>69850</xdr:colOff>
      <xdr:row>29</xdr:row>
      <xdr:rowOff>25400</xdr:rowOff>
    </xdr:to>
    <xdr:graphicFrame macro="">
      <xdr:nvGraphicFramePr>
        <xdr:cNvPr id="33" name="Chart 32">
          <a:extLst>
            <a:ext uri="{FF2B5EF4-FFF2-40B4-BE49-F238E27FC236}">
              <a16:creationId xmlns:a16="http://schemas.microsoft.com/office/drawing/2014/main" id="{F3F30C9C-F6EC-47F5-98CD-3251DE2C6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317500</xdr:colOff>
      <xdr:row>10</xdr:row>
      <xdr:rowOff>158750</xdr:rowOff>
    </xdr:from>
    <xdr:to>
      <xdr:col>18</xdr:col>
      <xdr:colOff>279400</xdr:colOff>
      <xdr:row>12</xdr:row>
      <xdr:rowOff>19050</xdr:rowOff>
    </xdr:to>
    <xdr:sp macro="" textlink="">
      <xdr:nvSpPr>
        <xdr:cNvPr id="3" name="TextBox 2">
          <a:extLst>
            <a:ext uri="{FF2B5EF4-FFF2-40B4-BE49-F238E27FC236}">
              <a16:creationId xmlns:a16="http://schemas.microsoft.com/office/drawing/2014/main" id="{FFB7CA69-D9BD-B58F-C530-46EA223BF400}"/>
            </a:ext>
          </a:extLst>
        </xdr:cNvPr>
        <xdr:cNvSpPr txBox="1"/>
      </xdr:nvSpPr>
      <xdr:spPr>
        <a:xfrm>
          <a:off x="8242300" y="2000250"/>
          <a:ext cx="3009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Spend</a:t>
          </a:r>
          <a:r>
            <a:rPr lang="en-US" sz="1100" b="1" baseline="0">
              <a:latin typeface="Bahnschrift SemiBold Condensed" panose="020B0502040204020203" pitchFamily="34" charset="0"/>
            </a:rPr>
            <a:t> vs Conversion</a:t>
          </a:r>
          <a:endParaRPr lang="en-US" sz="1100" b="1">
            <a:latin typeface="Bahnschrift SemiBold Condensed" panose="020B0502040204020203" pitchFamily="34" charset="0"/>
          </a:endParaRPr>
        </a:p>
      </xdr:txBody>
    </xdr:sp>
    <xdr:clientData/>
  </xdr:twoCellAnchor>
  <xdr:twoCellAnchor>
    <xdr:from>
      <xdr:col>13</xdr:col>
      <xdr:colOff>158750</xdr:colOff>
      <xdr:row>29</xdr:row>
      <xdr:rowOff>63500</xdr:rowOff>
    </xdr:from>
    <xdr:to>
      <xdr:col>18</xdr:col>
      <xdr:colOff>463550</xdr:colOff>
      <xdr:row>30</xdr:row>
      <xdr:rowOff>165100</xdr:rowOff>
    </xdr:to>
    <xdr:sp macro="" textlink="">
      <xdr:nvSpPr>
        <xdr:cNvPr id="5" name="TextBox 4">
          <a:extLst>
            <a:ext uri="{FF2B5EF4-FFF2-40B4-BE49-F238E27FC236}">
              <a16:creationId xmlns:a16="http://schemas.microsoft.com/office/drawing/2014/main" id="{74D0F572-A585-89B4-41F8-5A93B5E95289}"/>
            </a:ext>
          </a:extLst>
        </xdr:cNvPr>
        <xdr:cNvSpPr txBox="1"/>
      </xdr:nvSpPr>
      <xdr:spPr>
        <a:xfrm>
          <a:off x="8083550" y="5403850"/>
          <a:ext cx="33528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mj-lt"/>
            </a:rPr>
            <a:t>"Social Media and Email convert efficiently,PPC</a:t>
          </a:r>
          <a:r>
            <a:rPr lang="en-US" sz="900" b="1" baseline="0">
              <a:latin typeface="+mj-lt"/>
            </a:rPr>
            <a:t> has highest spend."</a:t>
          </a:r>
          <a:endParaRPr lang="en-US" sz="900" b="1">
            <a:latin typeface="+mj-lt"/>
          </a:endParaRPr>
        </a:p>
      </xdr:txBody>
    </xdr:sp>
    <xdr:clientData/>
  </xdr:twoCellAnchor>
  <xdr:twoCellAnchor>
    <xdr:from>
      <xdr:col>3</xdr:col>
      <xdr:colOff>501650</xdr:colOff>
      <xdr:row>11</xdr:row>
      <xdr:rowOff>12700</xdr:rowOff>
    </xdr:from>
    <xdr:to>
      <xdr:col>7</xdr:col>
      <xdr:colOff>349250</xdr:colOff>
      <xdr:row>12</xdr:row>
      <xdr:rowOff>107950</xdr:rowOff>
    </xdr:to>
    <xdr:sp macro="" textlink="">
      <xdr:nvSpPr>
        <xdr:cNvPr id="6" name="TextBox 5">
          <a:extLst>
            <a:ext uri="{FF2B5EF4-FFF2-40B4-BE49-F238E27FC236}">
              <a16:creationId xmlns:a16="http://schemas.microsoft.com/office/drawing/2014/main" id="{A815CDD4-6523-EDC8-A6AF-FFD0F9900E9D}"/>
            </a:ext>
          </a:extLst>
        </xdr:cNvPr>
        <xdr:cNvSpPr txBox="1"/>
      </xdr:nvSpPr>
      <xdr:spPr>
        <a:xfrm>
          <a:off x="2330450" y="2038350"/>
          <a:ext cx="22860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CPA by Campaign</a:t>
          </a:r>
        </a:p>
      </xdr:txBody>
    </xdr:sp>
    <xdr:clientData/>
  </xdr:twoCellAnchor>
  <xdr:twoCellAnchor>
    <xdr:from>
      <xdr:col>8</xdr:col>
      <xdr:colOff>311150</xdr:colOff>
      <xdr:row>10</xdr:row>
      <xdr:rowOff>171450</xdr:rowOff>
    </xdr:from>
    <xdr:to>
      <xdr:col>12</xdr:col>
      <xdr:colOff>393700</xdr:colOff>
      <xdr:row>12</xdr:row>
      <xdr:rowOff>69850</xdr:rowOff>
    </xdr:to>
    <xdr:sp macro="" textlink="">
      <xdr:nvSpPr>
        <xdr:cNvPr id="7" name="TextBox 6">
          <a:extLst>
            <a:ext uri="{FF2B5EF4-FFF2-40B4-BE49-F238E27FC236}">
              <a16:creationId xmlns:a16="http://schemas.microsoft.com/office/drawing/2014/main" id="{6434AEEE-8151-6271-834D-89B2C6F92FFE}"/>
            </a:ext>
          </a:extLst>
        </xdr:cNvPr>
        <xdr:cNvSpPr txBox="1"/>
      </xdr:nvSpPr>
      <xdr:spPr>
        <a:xfrm>
          <a:off x="5187950" y="2012950"/>
          <a:ext cx="25209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Market Conversion</a:t>
          </a:r>
          <a:r>
            <a:rPr lang="en-US" sz="1100" b="1" baseline="0">
              <a:latin typeface="Bahnschrift SemiBold Condensed" panose="020B0502040204020203" pitchFamily="34" charset="0"/>
            </a:rPr>
            <a:t> Funnel</a:t>
          </a:r>
          <a:endParaRPr lang="en-US" sz="1100" b="1">
            <a:latin typeface="Bahnschrift SemiBold Condensed" panose="020B0502040204020203" pitchFamily="34" charset="0"/>
          </a:endParaRPr>
        </a:p>
      </xdr:txBody>
    </xdr:sp>
    <xdr:clientData/>
  </xdr:twoCellAnchor>
  <xdr:twoCellAnchor>
    <xdr:from>
      <xdr:col>3</xdr:col>
      <xdr:colOff>209550</xdr:colOff>
      <xdr:row>21</xdr:row>
      <xdr:rowOff>38100</xdr:rowOff>
    </xdr:from>
    <xdr:to>
      <xdr:col>7</xdr:col>
      <xdr:colOff>400050</xdr:colOff>
      <xdr:row>22</xdr:row>
      <xdr:rowOff>82550</xdr:rowOff>
    </xdr:to>
    <xdr:sp macro="" textlink="">
      <xdr:nvSpPr>
        <xdr:cNvPr id="9" name="TextBox 8">
          <a:extLst>
            <a:ext uri="{FF2B5EF4-FFF2-40B4-BE49-F238E27FC236}">
              <a16:creationId xmlns:a16="http://schemas.microsoft.com/office/drawing/2014/main" id="{A1222AAA-34EC-EF30-FFC4-545AE0662EC6}"/>
            </a:ext>
          </a:extLst>
        </xdr:cNvPr>
        <xdr:cNvSpPr txBox="1"/>
      </xdr:nvSpPr>
      <xdr:spPr>
        <a:xfrm>
          <a:off x="2038350" y="3905250"/>
          <a:ext cx="2628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Conversions vs CPA by Campaign</a:t>
          </a:r>
          <a:r>
            <a:rPr lang="en-US" sz="1100" b="1" baseline="0">
              <a:latin typeface="Bahnschrift SemiBold Condensed" panose="020B0502040204020203" pitchFamily="34" charset="0"/>
            </a:rPr>
            <a:t> Channel</a:t>
          </a:r>
          <a:endParaRPr lang="en-US" sz="1100" b="1">
            <a:latin typeface="Bahnschrift SemiBold Condensed" panose="020B0502040204020203" pitchFamily="34" charset="0"/>
          </a:endParaRPr>
        </a:p>
      </xdr:txBody>
    </xdr:sp>
    <xdr:clientData/>
  </xdr:twoCellAnchor>
  <xdr:twoCellAnchor>
    <xdr:from>
      <xdr:col>3</xdr:col>
      <xdr:colOff>63500</xdr:colOff>
      <xdr:row>29</xdr:row>
      <xdr:rowOff>127000</xdr:rowOff>
    </xdr:from>
    <xdr:to>
      <xdr:col>7</xdr:col>
      <xdr:colOff>469900</xdr:colOff>
      <xdr:row>30</xdr:row>
      <xdr:rowOff>177800</xdr:rowOff>
    </xdr:to>
    <xdr:sp macro="" textlink="">
      <xdr:nvSpPr>
        <xdr:cNvPr id="38" name="TextBox 37">
          <a:extLst>
            <a:ext uri="{FF2B5EF4-FFF2-40B4-BE49-F238E27FC236}">
              <a16:creationId xmlns:a16="http://schemas.microsoft.com/office/drawing/2014/main" id="{B77AB53B-357B-70F8-B4E8-035E708C3DFD}"/>
            </a:ext>
          </a:extLst>
        </xdr:cNvPr>
        <xdr:cNvSpPr txBox="1"/>
      </xdr:nvSpPr>
      <xdr:spPr>
        <a:xfrm>
          <a:off x="1892300" y="5467350"/>
          <a:ext cx="28448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j-lt"/>
            </a:rPr>
            <a:t>"Email</a:t>
          </a:r>
          <a:r>
            <a:rPr lang="en-US" sz="800" b="1" baseline="0">
              <a:latin typeface="+mj-lt"/>
            </a:rPr>
            <a:t> </a:t>
          </a:r>
          <a:r>
            <a:rPr lang="en-US" sz="800" b="1">
              <a:latin typeface="+mj-lt"/>
            </a:rPr>
            <a:t> and Social Media</a:t>
          </a:r>
          <a:r>
            <a:rPr lang="en-US" sz="800" b="1" baseline="0">
              <a:latin typeface="+mj-lt"/>
            </a:rPr>
            <a:t> are the most cost-effective channels."</a:t>
          </a:r>
          <a:endParaRPr lang="en-US" sz="800" b="1">
            <a:latin typeface="+mj-lt"/>
          </a:endParaRPr>
        </a:p>
      </xdr:txBody>
    </xdr:sp>
    <xdr:clientData/>
  </xdr:twoCellAnchor>
  <xdr:twoCellAnchor>
    <xdr:from>
      <xdr:col>8</xdr:col>
      <xdr:colOff>215900</xdr:colOff>
      <xdr:row>21</xdr:row>
      <xdr:rowOff>82550</xdr:rowOff>
    </xdr:from>
    <xdr:to>
      <xdr:col>12</xdr:col>
      <xdr:colOff>431800</xdr:colOff>
      <xdr:row>22</xdr:row>
      <xdr:rowOff>107950</xdr:rowOff>
    </xdr:to>
    <xdr:sp macro="" textlink="">
      <xdr:nvSpPr>
        <xdr:cNvPr id="39" name="TextBox 38">
          <a:extLst>
            <a:ext uri="{FF2B5EF4-FFF2-40B4-BE49-F238E27FC236}">
              <a16:creationId xmlns:a16="http://schemas.microsoft.com/office/drawing/2014/main" id="{0557D6F6-3F5A-AEFF-69BE-E44D9147581B}"/>
            </a:ext>
          </a:extLst>
        </xdr:cNvPr>
        <xdr:cNvSpPr txBox="1"/>
      </xdr:nvSpPr>
      <xdr:spPr>
        <a:xfrm>
          <a:off x="5092700" y="3949700"/>
          <a:ext cx="26543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Engagement</a:t>
          </a:r>
          <a:r>
            <a:rPr lang="en-US" sz="1100" b="1" baseline="0">
              <a:latin typeface="Bahnschrift SemiBold Condensed" panose="020B0502040204020203" pitchFamily="34" charset="0"/>
            </a:rPr>
            <a:t> vs Outcome</a:t>
          </a:r>
          <a:endParaRPr lang="en-US" sz="1100" b="1">
            <a:latin typeface="Bahnschrift SemiBold Condensed" panose="020B0502040204020203" pitchFamily="34" charset="0"/>
          </a:endParaRPr>
        </a:p>
      </xdr:txBody>
    </xdr:sp>
    <xdr:clientData/>
  </xdr:twoCellAnchor>
  <xdr:twoCellAnchor editAs="oneCell">
    <xdr:from>
      <xdr:col>3</xdr:col>
      <xdr:colOff>50800</xdr:colOff>
      <xdr:row>3</xdr:row>
      <xdr:rowOff>57150</xdr:rowOff>
    </xdr:from>
    <xdr:to>
      <xdr:col>11</xdr:col>
      <xdr:colOff>0</xdr:colOff>
      <xdr:row>5</xdr:row>
      <xdr:rowOff>120650</xdr:rowOff>
    </xdr:to>
    <mc:AlternateContent xmlns:mc="http://schemas.openxmlformats.org/markup-compatibility/2006" xmlns:a14="http://schemas.microsoft.com/office/drawing/2010/main">
      <mc:Choice Requires="a14">
        <xdr:graphicFrame macro="">
          <xdr:nvGraphicFramePr>
            <xdr:cNvPr id="41" name="CampaignChannel 1">
              <a:extLst>
                <a:ext uri="{FF2B5EF4-FFF2-40B4-BE49-F238E27FC236}">
                  <a16:creationId xmlns:a16="http://schemas.microsoft.com/office/drawing/2014/main" id="{0E857BD0-14EF-463A-ACF8-20CD8256976A}"/>
                </a:ext>
              </a:extLst>
            </xdr:cNvPr>
            <xdr:cNvGraphicFramePr/>
          </xdr:nvGraphicFramePr>
          <xdr:xfrm>
            <a:off x="0" y="0"/>
            <a:ext cx="0" cy="0"/>
          </xdr:xfrm>
          <a:graphic>
            <a:graphicData uri="http://schemas.microsoft.com/office/drawing/2010/slicer">
              <sle:slicer xmlns:sle="http://schemas.microsoft.com/office/drawing/2010/slicer" name="CampaignChannel 1"/>
            </a:graphicData>
          </a:graphic>
        </xdr:graphicFrame>
      </mc:Choice>
      <mc:Fallback xmlns="">
        <xdr:sp macro="" textlink="">
          <xdr:nvSpPr>
            <xdr:cNvPr id="0" name=""/>
            <xdr:cNvSpPr>
              <a:spLocks noTextEdit="1"/>
            </xdr:cNvSpPr>
          </xdr:nvSpPr>
          <xdr:spPr>
            <a:xfrm>
              <a:off x="1879600" y="609600"/>
              <a:ext cx="4826000" cy="43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7</xdr:row>
      <xdr:rowOff>84517</xdr:rowOff>
    </xdr:from>
    <xdr:to>
      <xdr:col>2</xdr:col>
      <xdr:colOff>298450</xdr:colOff>
      <xdr:row>9</xdr:row>
      <xdr:rowOff>152400</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619EFEE1-5A57-3BC6-52C5-C19F572B83D5}"/>
            </a:ext>
          </a:extLst>
        </xdr:cNvPr>
        <xdr:cNvSpPr/>
      </xdr:nvSpPr>
      <xdr:spPr>
        <a:xfrm>
          <a:off x="95250" y="1373567"/>
          <a:ext cx="1422400" cy="436183"/>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11</xdr:row>
      <xdr:rowOff>78167</xdr:rowOff>
    </xdr:from>
    <xdr:to>
      <xdr:col>0</xdr:col>
      <xdr:colOff>0</xdr:colOff>
      <xdr:row>13</xdr:row>
      <xdr:rowOff>171450</xdr:rowOff>
    </xdr:to>
    <xdr:sp macro="" textlink="">
      <xdr:nvSpPr>
        <xdr:cNvPr id="40" name="Rectangle: Rounded Corners 39">
          <a:extLst>
            <a:ext uri="{FF2B5EF4-FFF2-40B4-BE49-F238E27FC236}">
              <a16:creationId xmlns:a16="http://schemas.microsoft.com/office/drawing/2014/main" id="{BCDF7500-B522-D491-AF26-13EA1B679BA0}"/>
            </a:ext>
          </a:extLst>
        </xdr:cNvPr>
        <xdr:cNvSpPr/>
      </xdr:nvSpPr>
      <xdr:spPr>
        <a:xfrm>
          <a:off x="0" y="2103817"/>
          <a:ext cx="0" cy="4615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11</xdr:row>
      <xdr:rowOff>16784</xdr:rowOff>
    </xdr:from>
    <xdr:to>
      <xdr:col>2</xdr:col>
      <xdr:colOff>298450</xdr:colOff>
      <xdr:row>13</xdr:row>
      <xdr:rowOff>84667</xdr:rowOff>
    </xdr:to>
    <xdr:sp macro="" textlink="">
      <xdr:nvSpPr>
        <xdr:cNvPr id="44" name="Rectangle: Rounded Corners 43">
          <a:hlinkClick xmlns:r="http://schemas.openxmlformats.org/officeDocument/2006/relationships" r:id="rId8"/>
          <a:extLst>
            <a:ext uri="{FF2B5EF4-FFF2-40B4-BE49-F238E27FC236}">
              <a16:creationId xmlns:a16="http://schemas.microsoft.com/office/drawing/2014/main" id="{CBBD50B0-A94D-8EC9-B236-9AB359890EBB}"/>
            </a:ext>
          </a:extLst>
        </xdr:cNvPr>
        <xdr:cNvSpPr/>
      </xdr:nvSpPr>
      <xdr:spPr>
        <a:xfrm>
          <a:off x="95250" y="2042434"/>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14</xdr:row>
      <xdr:rowOff>133201</xdr:rowOff>
    </xdr:from>
    <xdr:to>
      <xdr:col>2</xdr:col>
      <xdr:colOff>298450</xdr:colOff>
      <xdr:row>17</xdr:row>
      <xdr:rowOff>16934</xdr:rowOff>
    </xdr:to>
    <xdr:sp macro="" textlink="">
      <xdr:nvSpPr>
        <xdr:cNvPr id="46" name="Rectangle: Rounded Corners 45">
          <a:hlinkClick xmlns:r="http://schemas.openxmlformats.org/officeDocument/2006/relationships" r:id="rId9"/>
          <a:extLst>
            <a:ext uri="{FF2B5EF4-FFF2-40B4-BE49-F238E27FC236}">
              <a16:creationId xmlns:a16="http://schemas.microsoft.com/office/drawing/2014/main" id="{4B91D634-8BAE-8553-7035-D7C622EA5C90}"/>
            </a:ext>
          </a:extLst>
        </xdr:cNvPr>
        <xdr:cNvSpPr/>
      </xdr:nvSpPr>
      <xdr:spPr>
        <a:xfrm>
          <a:off x="95250" y="2711301"/>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222250</xdr:colOff>
      <xdr:row>8</xdr:row>
      <xdr:rowOff>6350</xdr:rowOff>
    </xdr:from>
    <xdr:to>
      <xdr:col>2</xdr:col>
      <xdr:colOff>171450</xdr:colOff>
      <xdr:row>9</xdr:row>
      <xdr:rowOff>88900</xdr:rowOff>
    </xdr:to>
    <xdr:sp macro="" textlink="">
      <xdr:nvSpPr>
        <xdr:cNvPr id="48" name="TextBox 47">
          <a:extLst>
            <a:ext uri="{FF2B5EF4-FFF2-40B4-BE49-F238E27FC236}">
              <a16:creationId xmlns:a16="http://schemas.microsoft.com/office/drawing/2014/main" id="{7905C17F-AE0A-D1F8-FF7A-21F10B454620}"/>
            </a:ext>
          </a:extLst>
        </xdr:cNvPr>
        <xdr:cNvSpPr txBox="1"/>
      </xdr:nvSpPr>
      <xdr:spPr>
        <a:xfrm>
          <a:off x="222250" y="1479550"/>
          <a:ext cx="11684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rial Narrow" panose="020B0606020202030204" pitchFamily="34" charset="0"/>
            </a:rPr>
            <a:t>Overview</a:t>
          </a:r>
        </a:p>
      </xdr:txBody>
    </xdr:sp>
    <xdr:clientData/>
  </xdr:twoCellAnchor>
  <xdr:twoCellAnchor>
    <xdr:from>
      <xdr:col>0</xdr:col>
      <xdr:colOff>146050</xdr:colOff>
      <xdr:row>11</xdr:row>
      <xdr:rowOff>114300</xdr:rowOff>
    </xdr:from>
    <xdr:to>
      <xdr:col>2</xdr:col>
      <xdr:colOff>196850</xdr:colOff>
      <xdr:row>13</xdr:row>
      <xdr:rowOff>38100</xdr:rowOff>
    </xdr:to>
    <xdr:sp macro="" textlink="">
      <xdr:nvSpPr>
        <xdr:cNvPr id="50" name="TextBox 49">
          <a:extLst>
            <a:ext uri="{FF2B5EF4-FFF2-40B4-BE49-F238E27FC236}">
              <a16:creationId xmlns:a16="http://schemas.microsoft.com/office/drawing/2014/main" id="{C3DC0165-5D5F-ED53-28C1-22E29D6B0E77}"/>
            </a:ext>
          </a:extLst>
        </xdr:cNvPr>
        <xdr:cNvSpPr txBox="1"/>
      </xdr:nvSpPr>
      <xdr:spPr>
        <a:xfrm>
          <a:off x="146050" y="2139950"/>
          <a:ext cx="12700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Customer Analysis</a:t>
          </a:r>
        </a:p>
      </xdr:txBody>
    </xdr:sp>
    <xdr:clientData/>
  </xdr:twoCellAnchor>
  <xdr:twoCellAnchor>
    <xdr:from>
      <xdr:col>0</xdr:col>
      <xdr:colOff>222250</xdr:colOff>
      <xdr:row>15</xdr:row>
      <xdr:rowOff>31750</xdr:rowOff>
    </xdr:from>
    <xdr:to>
      <xdr:col>2</xdr:col>
      <xdr:colOff>152400</xdr:colOff>
      <xdr:row>16</xdr:row>
      <xdr:rowOff>120650</xdr:rowOff>
    </xdr:to>
    <xdr:sp macro="" textlink="">
      <xdr:nvSpPr>
        <xdr:cNvPr id="51" name="TextBox 50">
          <a:extLst>
            <a:ext uri="{FF2B5EF4-FFF2-40B4-BE49-F238E27FC236}">
              <a16:creationId xmlns:a16="http://schemas.microsoft.com/office/drawing/2014/main" id="{C3061602-E090-B2EA-001C-0D2A2988FF05}"/>
            </a:ext>
          </a:extLst>
        </xdr:cNvPr>
        <xdr:cNvSpPr txBox="1"/>
      </xdr:nvSpPr>
      <xdr:spPr>
        <a:xfrm>
          <a:off x="222250" y="2794000"/>
          <a:ext cx="114935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Insights</a:t>
          </a:r>
          <a:r>
            <a:rPr lang="en-US" sz="1100" b="1" baseline="0">
              <a:latin typeface="Arial Narrow" panose="020B0606020202030204" pitchFamily="34" charset="0"/>
            </a:rPr>
            <a:t> </a:t>
          </a:r>
          <a:endParaRPr lang="en-US" sz="1100" b="1">
            <a:latin typeface="Arial Narrow" panose="020B0606020202030204" pitchFamily="34" charset="0"/>
          </a:endParaRPr>
        </a:p>
      </xdr:txBody>
    </xdr:sp>
    <xdr:clientData/>
  </xdr:twoCellAnchor>
  <xdr:twoCellAnchor>
    <xdr:from>
      <xdr:col>0</xdr:col>
      <xdr:colOff>95250</xdr:colOff>
      <xdr:row>18</xdr:row>
      <xdr:rowOff>65467</xdr:rowOff>
    </xdr:from>
    <xdr:to>
      <xdr:col>2</xdr:col>
      <xdr:colOff>298450</xdr:colOff>
      <xdr:row>20</xdr:row>
      <xdr:rowOff>133350</xdr:rowOff>
    </xdr:to>
    <xdr:sp macro="" textlink="">
      <xdr:nvSpPr>
        <xdr:cNvPr id="52" name="Rectangle: Rounded Corners 51">
          <a:hlinkClick xmlns:r="http://schemas.openxmlformats.org/officeDocument/2006/relationships" r:id="rId9"/>
          <a:extLst>
            <a:ext uri="{FF2B5EF4-FFF2-40B4-BE49-F238E27FC236}">
              <a16:creationId xmlns:a16="http://schemas.microsoft.com/office/drawing/2014/main" id="{8C409B57-4D82-7527-E050-4AE7918F2A28}"/>
            </a:ext>
          </a:extLst>
        </xdr:cNvPr>
        <xdr:cNvSpPr/>
      </xdr:nvSpPr>
      <xdr:spPr>
        <a:xfrm>
          <a:off x="95250" y="3380167"/>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18</xdr:row>
      <xdr:rowOff>133350</xdr:rowOff>
    </xdr:from>
    <xdr:to>
      <xdr:col>2</xdr:col>
      <xdr:colOff>228600</xdr:colOff>
      <xdr:row>20</xdr:row>
      <xdr:rowOff>31750</xdr:rowOff>
    </xdr:to>
    <xdr:sp macro="" textlink="">
      <xdr:nvSpPr>
        <xdr:cNvPr id="53" name="TextBox 52">
          <a:extLst>
            <a:ext uri="{FF2B5EF4-FFF2-40B4-BE49-F238E27FC236}">
              <a16:creationId xmlns:a16="http://schemas.microsoft.com/office/drawing/2014/main" id="{C24D708C-9DDE-5BB8-F747-E6F6024D6F42}"/>
            </a:ext>
          </a:extLst>
        </xdr:cNvPr>
        <xdr:cNvSpPr txBox="1"/>
      </xdr:nvSpPr>
      <xdr:spPr>
        <a:xfrm>
          <a:off x="133350" y="3448050"/>
          <a:ext cx="13144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Recommendations</a:t>
          </a:r>
        </a:p>
      </xdr:txBody>
    </xdr:sp>
    <xdr:clientData/>
  </xdr:twoCellAnchor>
  <xdr:twoCellAnchor editAs="oneCell">
    <xdr:from>
      <xdr:col>1</xdr:col>
      <xdr:colOff>38100</xdr:colOff>
      <xdr:row>0</xdr:row>
      <xdr:rowOff>82550</xdr:rowOff>
    </xdr:from>
    <xdr:to>
      <xdr:col>1</xdr:col>
      <xdr:colOff>469900</xdr:colOff>
      <xdr:row>2</xdr:row>
      <xdr:rowOff>133350</xdr:rowOff>
    </xdr:to>
    <xdr:pic>
      <xdr:nvPicPr>
        <xdr:cNvPr id="57" name="Picture 56">
          <a:extLst>
            <a:ext uri="{FF2B5EF4-FFF2-40B4-BE49-F238E27FC236}">
              <a16:creationId xmlns:a16="http://schemas.microsoft.com/office/drawing/2014/main" id="{A8ADE986-6F2A-25C9-A3A0-80204F02444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47700" y="82550"/>
          <a:ext cx="431800" cy="41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1</xdr:row>
      <xdr:rowOff>76200</xdr:rowOff>
    </xdr:from>
    <xdr:to>
      <xdr:col>19</xdr:col>
      <xdr:colOff>234950</xdr:colOff>
      <xdr:row>31</xdr:row>
      <xdr:rowOff>133350</xdr:rowOff>
    </xdr:to>
    <xdr:sp macro="" textlink="">
      <xdr:nvSpPr>
        <xdr:cNvPr id="3" name="Rectangle: Rounded Corners 2">
          <a:extLst>
            <a:ext uri="{FF2B5EF4-FFF2-40B4-BE49-F238E27FC236}">
              <a16:creationId xmlns:a16="http://schemas.microsoft.com/office/drawing/2014/main" id="{18200AF8-03FF-487B-81FC-790D27308BB7}"/>
            </a:ext>
          </a:extLst>
        </xdr:cNvPr>
        <xdr:cNvSpPr/>
      </xdr:nvSpPr>
      <xdr:spPr>
        <a:xfrm>
          <a:off x="241300" y="260350"/>
          <a:ext cx="11576050" cy="5581650"/>
        </a:xfrm>
        <a:prstGeom prst="roundRect">
          <a:avLst>
            <a:gd name="adj" fmla="val 3733"/>
          </a:avLst>
        </a:prstGeom>
        <a:solidFill>
          <a:srgbClr val="E6FBD9">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100" baseline="0"/>
            <a:t>                   by Deborah O.</a:t>
          </a:r>
          <a:endParaRPr lang="en-US" sz="1100"/>
        </a:p>
      </xdr:txBody>
    </xdr:sp>
    <xdr:clientData/>
  </xdr:twoCellAnchor>
  <xdr:twoCellAnchor>
    <xdr:from>
      <xdr:col>7</xdr:col>
      <xdr:colOff>330200</xdr:colOff>
      <xdr:row>0</xdr:row>
      <xdr:rowOff>82550</xdr:rowOff>
    </xdr:from>
    <xdr:to>
      <xdr:col>14</xdr:col>
      <xdr:colOff>69850</xdr:colOff>
      <xdr:row>2</xdr:row>
      <xdr:rowOff>6351</xdr:rowOff>
    </xdr:to>
    <xdr:sp macro="" textlink="">
      <xdr:nvSpPr>
        <xdr:cNvPr id="5" name="Rectangle: Rounded Corners 4">
          <a:extLst>
            <a:ext uri="{FF2B5EF4-FFF2-40B4-BE49-F238E27FC236}">
              <a16:creationId xmlns:a16="http://schemas.microsoft.com/office/drawing/2014/main" id="{174424B3-9709-4A45-8B7B-FA81DCF86DE2}"/>
            </a:ext>
          </a:extLst>
        </xdr:cNvPr>
        <xdr:cNvSpPr/>
      </xdr:nvSpPr>
      <xdr:spPr>
        <a:xfrm>
          <a:off x="4597400" y="82550"/>
          <a:ext cx="4006850" cy="29210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latin typeface="Bell MT" panose="02020503060305020303" pitchFamily="18" charset="0"/>
            </a:rPr>
            <a:t>CUSTOMER</a:t>
          </a:r>
          <a:r>
            <a:rPr lang="en-US" sz="1600" b="1" baseline="0">
              <a:solidFill>
                <a:schemeClr val="bg1"/>
              </a:solidFill>
              <a:latin typeface="Bell MT" panose="02020503060305020303" pitchFamily="18" charset="0"/>
            </a:rPr>
            <a:t> ANALYTICS DASHBOARD</a:t>
          </a:r>
          <a:endParaRPr lang="en-US" sz="1600" b="1">
            <a:solidFill>
              <a:schemeClr val="bg1"/>
            </a:solidFill>
            <a:latin typeface="Bell MT" panose="02020503060305020303" pitchFamily="18" charset="0"/>
          </a:endParaRPr>
        </a:p>
      </xdr:txBody>
    </xdr:sp>
    <xdr:clientData/>
  </xdr:twoCellAnchor>
  <xdr:twoCellAnchor>
    <xdr:from>
      <xdr:col>3</xdr:col>
      <xdr:colOff>76200</xdr:colOff>
      <xdr:row>2</xdr:row>
      <xdr:rowOff>120650</xdr:rowOff>
    </xdr:from>
    <xdr:to>
      <xdr:col>11</xdr:col>
      <xdr:colOff>88900</xdr:colOff>
      <xdr:row>5</xdr:row>
      <xdr:rowOff>17455</xdr:rowOff>
    </xdr:to>
    <xdr:sp macro="" textlink="">
      <xdr:nvSpPr>
        <xdr:cNvPr id="4" name="Rectangle: Rounded Corners 3">
          <a:extLst>
            <a:ext uri="{FF2B5EF4-FFF2-40B4-BE49-F238E27FC236}">
              <a16:creationId xmlns:a16="http://schemas.microsoft.com/office/drawing/2014/main" id="{896BD5F9-1B9A-4A6E-BB47-DC0788084344}"/>
            </a:ext>
          </a:extLst>
        </xdr:cNvPr>
        <xdr:cNvSpPr/>
      </xdr:nvSpPr>
      <xdr:spPr>
        <a:xfrm>
          <a:off x="1905000" y="488950"/>
          <a:ext cx="4889500" cy="44925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146050</xdr:colOff>
      <xdr:row>2</xdr:row>
      <xdr:rowOff>120650</xdr:rowOff>
    </xdr:from>
    <xdr:to>
      <xdr:col>19</xdr:col>
      <xdr:colOff>158750</xdr:colOff>
      <xdr:row>5</xdr:row>
      <xdr:rowOff>17455</xdr:rowOff>
    </xdr:to>
    <xdr:sp macro="" textlink="">
      <xdr:nvSpPr>
        <xdr:cNvPr id="6" name="Rectangle: Rounded Corners 5">
          <a:extLst>
            <a:ext uri="{FF2B5EF4-FFF2-40B4-BE49-F238E27FC236}">
              <a16:creationId xmlns:a16="http://schemas.microsoft.com/office/drawing/2014/main" id="{F65FBDD1-732E-1628-28AE-2FC47039F23D}"/>
            </a:ext>
          </a:extLst>
        </xdr:cNvPr>
        <xdr:cNvSpPr/>
      </xdr:nvSpPr>
      <xdr:spPr>
        <a:xfrm>
          <a:off x="6851650" y="488950"/>
          <a:ext cx="4889500" cy="44925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107950</xdr:colOff>
      <xdr:row>6</xdr:row>
      <xdr:rowOff>6350</xdr:rowOff>
    </xdr:from>
    <xdr:to>
      <xdr:col>5</xdr:col>
      <xdr:colOff>419100</xdr:colOff>
      <xdr:row>9</xdr:row>
      <xdr:rowOff>80134</xdr:rowOff>
    </xdr:to>
    <xdr:sp macro="" textlink="">
      <xdr:nvSpPr>
        <xdr:cNvPr id="8" name="Rectangle: Rounded Corners 7">
          <a:extLst>
            <a:ext uri="{FF2B5EF4-FFF2-40B4-BE49-F238E27FC236}">
              <a16:creationId xmlns:a16="http://schemas.microsoft.com/office/drawing/2014/main" id="{91B946FE-4F3B-4822-A942-6BE0DF04C16F}"/>
            </a:ext>
          </a:extLst>
        </xdr:cNvPr>
        <xdr:cNvSpPr/>
      </xdr:nvSpPr>
      <xdr:spPr>
        <a:xfrm>
          <a:off x="1936750" y="1111250"/>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6</xdr:col>
      <xdr:colOff>346075</xdr:colOff>
      <xdr:row>6</xdr:row>
      <xdr:rowOff>6350</xdr:rowOff>
    </xdr:from>
    <xdr:to>
      <xdr:col>9</xdr:col>
      <xdr:colOff>47625</xdr:colOff>
      <xdr:row>9</xdr:row>
      <xdr:rowOff>80134</xdr:rowOff>
    </xdr:to>
    <xdr:sp macro="" textlink="">
      <xdr:nvSpPr>
        <xdr:cNvPr id="9" name="Rectangle: Rounded Corners 8">
          <a:extLst>
            <a:ext uri="{FF2B5EF4-FFF2-40B4-BE49-F238E27FC236}">
              <a16:creationId xmlns:a16="http://schemas.microsoft.com/office/drawing/2014/main" id="{274C04E8-1033-8943-BC11-928728C317C7}"/>
            </a:ext>
          </a:extLst>
        </xdr:cNvPr>
        <xdr:cNvSpPr/>
      </xdr:nvSpPr>
      <xdr:spPr>
        <a:xfrm>
          <a:off x="4003675" y="1111250"/>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9</xdr:col>
      <xdr:colOff>584200</xdr:colOff>
      <xdr:row>6</xdr:row>
      <xdr:rowOff>6350</xdr:rowOff>
    </xdr:from>
    <xdr:to>
      <xdr:col>12</xdr:col>
      <xdr:colOff>285750</xdr:colOff>
      <xdr:row>9</xdr:row>
      <xdr:rowOff>80134</xdr:rowOff>
    </xdr:to>
    <xdr:sp macro="" textlink="">
      <xdr:nvSpPr>
        <xdr:cNvPr id="10" name="Rectangle: Rounded Corners 9">
          <a:extLst>
            <a:ext uri="{FF2B5EF4-FFF2-40B4-BE49-F238E27FC236}">
              <a16:creationId xmlns:a16="http://schemas.microsoft.com/office/drawing/2014/main" id="{E2C1712E-5FB6-5A40-2FA7-1CA925370B10}"/>
            </a:ext>
          </a:extLst>
        </xdr:cNvPr>
        <xdr:cNvSpPr/>
      </xdr:nvSpPr>
      <xdr:spPr>
        <a:xfrm>
          <a:off x="6070600" y="1111250"/>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13</xdr:col>
      <xdr:colOff>212725</xdr:colOff>
      <xdr:row>6</xdr:row>
      <xdr:rowOff>6350</xdr:rowOff>
    </xdr:from>
    <xdr:to>
      <xdr:col>15</xdr:col>
      <xdr:colOff>523875</xdr:colOff>
      <xdr:row>9</xdr:row>
      <xdr:rowOff>80134</xdr:rowOff>
    </xdr:to>
    <xdr:sp macro="" textlink="">
      <xdr:nvSpPr>
        <xdr:cNvPr id="11" name="Rectangle: Rounded Corners 10">
          <a:extLst>
            <a:ext uri="{FF2B5EF4-FFF2-40B4-BE49-F238E27FC236}">
              <a16:creationId xmlns:a16="http://schemas.microsoft.com/office/drawing/2014/main" id="{3FA96C60-26FF-613E-D18F-838510374A42}"/>
            </a:ext>
          </a:extLst>
        </xdr:cNvPr>
        <xdr:cNvSpPr/>
      </xdr:nvSpPr>
      <xdr:spPr>
        <a:xfrm>
          <a:off x="8137525" y="1111250"/>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16</xdr:col>
      <xdr:colOff>450850</xdr:colOff>
      <xdr:row>6</xdr:row>
      <xdr:rowOff>6350</xdr:rowOff>
    </xdr:from>
    <xdr:to>
      <xdr:col>19</xdr:col>
      <xdr:colOff>152400</xdr:colOff>
      <xdr:row>9</xdr:row>
      <xdr:rowOff>80134</xdr:rowOff>
    </xdr:to>
    <xdr:sp macro="" textlink="">
      <xdr:nvSpPr>
        <xdr:cNvPr id="12" name="Rectangle: Rounded Corners 11">
          <a:extLst>
            <a:ext uri="{FF2B5EF4-FFF2-40B4-BE49-F238E27FC236}">
              <a16:creationId xmlns:a16="http://schemas.microsoft.com/office/drawing/2014/main" id="{38212230-503F-0514-38E3-35AB3E6B6521}"/>
            </a:ext>
          </a:extLst>
        </xdr:cNvPr>
        <xdr:cNvSpPr/>
      </xdr:nvSpPr>
      <xdr:spPr>
        <a:xfrm>
          <a:off x="10204450" y="1111250"/>
          <a:ext cx="1530350" cy="62623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solidFill>
              <a:sysClr val="windowText" lastClr="000000"/>
            </a:solidFill>
          </a:endParaRPr>
        </a:p>
      </xdr:txBody>
    </xdr:sp>
    <xdr:clientData/>
  </xdr:twoCellAnchor>
  <xdr:twoCellAnchor>
    <xdr:from>
      <xdr:col>3</xdr:col>
      <xdr:colOff>88900</xdr:colOff>
      <xdr:row>10</xdr:row>
      <xdr:rowOff>107950</xdr:rowOff>
    </xdr:from>
    <xdr:to>
      <xdr:col>7</xdr:col>
      <xdr:colOff>590550</xdr:colOff>
      <xdr:row>20</xdr:row>
      <xdr:rowOff>111118</xdr:rowOff>
    </xdr:to>
    <xdr:sp macro="" textlink="">
      <xdr:nvSpPr>
        <xdr:cNvPr id="14" name="Rectangle: Rounded Corners 13">
          <a:extLst>
            <a:ext uri="{FF2B5EF4-FFF2-40B4-BE49-F238E27FC236}">
              <a16:creationId xmlns:a16="http://schemas.microsoft.com/office/drawing/2014/main" id="{C69FE843-DF16-46BD-B08C-707A4F978472}"/>
            </a:ext>
          </a:extLst>
        </xdr:cNvPr>
        <xdr:cNvSpPr/>
      </xdr:nvSpPr>
      <xdr:spPr>
        <a:xfrm>
          <a:off x="1917700" y="1949450"/>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44450</xdr:colOff>
      <xdr:row>10</xdr:row>
      <xdr:rowOff>107950</xdr:rowOff>
    </xdr:from>
    <xdr:to>
      <xdr:col>12</xdr:col>
      <xdr:colOff>546100</xdr:colOff>
      <xdr:row>20</xdr:row>
      <xdr:rowOff>111118</xdr:rowOff>
    </xdr:to>
    <xdr:sp macro="" textlink="">
      <xdr:nvSpPr>
        <xdr:cNvPr id="15" name="Rectangle: Rounded Corners 14">
          <a:extLst>
            <a:ext uri="{FF2B5EF4-FFF2-40B4-BE49-F238E27FC236}">
              <a16:creationId xmlns:a16="http://schemas.microsoft.com/office/drawing/2014/main" id="{65EE7A8A-6D39-537A-7002-CA1DEEDC5C50}"/>
            </a:ext>
          </a:extLst>
        </xdr:cNvPr>
        <xdr:cNvSpPr/>
      </xdr:nvSpPr>
      <xdr:spPr>
        <a:xfrm>
          <a:off x="4921250" y="1949450"/>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xdr:colOff>
      <xdr:row>21</xdr:row>
      <xdr:rowOff>19050</xdr:rowOff>
    </xdr:from>
    <xdr:to>
      <xdr:col>7</xdr:col>
      <xdr:colOff>552450</xdr:colOff>
      <xdr:row>31</xdr:row>
      <xdr:rowOff>22218</xdr:rowOff>
    </xdr:to>
    <xdr:sp macro="" textlink="">
      <xdr:nvSpPr>
        <xdr:cNvPr id="18" name="Rectangle: Rounded Corners 17">
          <a:extLst>
            <a:ext uri="{FF2B5EF4-FFF2-40B4-BE49-F238E27FC236}">
              <a16:creationId xmlns:a16="http://schemas.microsoft.com/office/drawing/2014/main" id="{2092D314-914B-4C15-9907-2782642B4BB4}"/>
            </a:ext>
          </a:extLst>
        </xdr:cNvPr>
        <xdr:cNvSpPr/>
      </xdr:nvSpPr>
      <xdr:spPr>
        <a:xfrm>
          <a:off x="1879600" y="3886200"/>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25400</xdr:colOff>
      <xdr:row>21</xdr:row>
      <xdr:rowOff>19050</xdr:rowOff>
    </xdr:from>
    <xdr:to>
      <xdr:col>12</xdr:col>
      <xdr:colOff>527050</xdr:colOff>
      <xdr:row>31</xdr:row>
      <xdr:rowOff>22218</xdr:rowOff>
    </xdr:to>
    <xdr:sp macro="" textlink="">
      <xdr:nvSpPr>
        <xdr:cNvPr id="19" name="Rectangle: Rounded Corners 18">
          <a:extLst>
            <a:ext uri="{FF2B5EF4-FFF2-40B4-BE49-F238E27FC236}">
              <a16:creationId xmlns:a16="http://schemas.microsoft.com/office/drawing/2014/main" id="{E6016BBF-8CD5-D14C-45D2-041CA7374089}"/>
            </a:ext>
          </a:extLst>
        </xdr:cNvPr>
        <xdr:cNvSpPr/>
      </xdr:nvSpPr>
      <xdr:spPr>
        <a:xfrm>
          <a:off x="4902200" y="3886200"/>
          <a:ext cx="2940050" cy="184466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12700</xdr:colOff>
      <xdr:row>10</xdr:row>
      <xdr:rowOff>114300</xdr:rowOff>
    </xdr:from>
    <xdr:to>
      <xdr:col>19</xdr:col>
      <xdr:colOff>146050</xdr:colOff>
      <xdr:row>31</xdr:row>
      <xdr:rowOff>18168</xdr:rowOff>
    </xdr:to>
    <xdr:sp macro="" textlink="">
      <xdr:nvSpPr>
        <xdr:cNvPr id="21" name="Rectangle: Rounded Corners 20">
          <a:extLst>
            <a:ext uri="{FF2B5EF4-FFF2-40B4-BE49-F238E27FC236}">
              <a16:creationId xmlns:a16="http://schemas.microsoft.com/office/drawing/2014/main" id="{EDC92A39-F28B-4EFC-8966-FAED00F4C809}"/>
            </a:ext>
          </a:extLst>
        </xdr:cNvPr>
        <xdr:cNvSpPr/>
      </xdr:nvSpPr>
      <xdr:spPr>
        <a:xfrm>
          <a:off x="7937500" y="1955800"/>
          <a:ext cx="3790950" cy="3771018"/>
        </a:xfrm>
        <a:prstGeom prst="roundRect">
          <a:avLst>
            <a:gd name="adj" fmla="val 559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520700</xdr:colOff>
      <xdr:row>6</xdr:row>
      <xdr:rowOff>38100</xdr:rowOff>
    </xdr:from>
    <xdr:to>
      <xdr:col>4</xdr:col>
      <xdr:colOff>571500</xdr:colOff>
      <xdr:row>7</xdr:row>
      <xdr:rowOff>171450</xdr:rowOff>
    </xdr:to>
    <xdr:sp macro="" textlink="'Customer PIVOT SHEET'!B4">
      <xdr:nvSpPr>
        <xdr:cNvPr id="2" name="TextBox 1">
          <a:extLst>
            <a:ext uri="{FF2B5EF4-FFF2-40B4-BE49-F238E27FC236}">
              <a16:creationId xmlns:a16="http://schemas.microsoft.com/office/drawing/2014/main" id="{FA1C990A-1E63-0069-DC3E-07520B2960B6}"/>
            </a:ext>
          </a:extLst>
        </xdr:cNvPr>
        <xdr:cNvSpPr txBox="1"/>
      </xdr:nvSpPr>
      <xdr:spPr>
        <a:xfrm>
          <a:off x="2349500" y="1143000"/>
          <a:ext cx="6604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ADCADF-6EB3-4F82-AFC4-0053D6655CC6}" type="TxLink">
            <a:rPr lang="en-US" sz="2000" b="1" i="0" u="none" strike="noStrike">
              <a:solidFill>
                <a:srgbClr val="000000"/>
              </a:solidFill>
              <a:latin typeface="Calibri"/>
              <a:cs typeface="Calibri"/>
            </a:rPr>
            <a:pPr/>
            <a:t>318</a:t>
          </a:fld>
          <a:endParaRPr lang="en-US" sz="2000" b="1"/>
        </a:p>
      </xdr:txBody>
    </xdr:sp>
    <xdr:clientData/>
  </xdr:twoCellAnchor>
  <xdr:twoCellAnchor>
    <xdr:from>
      <xdr:col>3</xdr:col>
      <xdr:colOff>393700</xdr:colOff>
      <xdr:row>7</xdr:row>
      <xdr:rowOff>177801</xdr:rowOff>
    </xdr:from>
    <xdr:to>
      <xdr:col>5</xdr:col>
      <xdr:colOff>25400</xdr:colOff>
      <xdr:row>9</xdr:row>
      <xdr:rowOff>31750</xdr:rowOff>
    </xdr:to>
    <xdr:sp macro="" textlink="">
      <xdr:nvSpPr>
        <xdr:cNvPr id="13" name="TextBox 12">
          <a:extLst>
            <a:ext uri="{FF2B5EF4-FFF2-40B4-BE49-F238E27FC236}">
              <a16:creationId xmlns:a16="http://schemas.microsoft.com/office/drawing/2014/main" id="{CD4276AC-1710-EEDC-3006-B6B4883E3E16}"/>
            </a:ext>
          </a:extLst>
        </xdr:cNvPr>
        <xdr:cNvSpPr txBox="1"/>
      </xdr:nvSpPr>
      <xdr:spPr>
        <a:xfrm>
          <a:off x="2222500" y="1466851"/>
          <a:ext cx="850900" cy="222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Bodoni MT Condensed" panose="02070606080606020203" pitchFamily="18" charset="0"/>
            </a:rPr>
            <a:t>Total </a:t>
          </a:r>
          <a:r>
            <a:rPr lang="en-US" sz="900" b="1">
              <a:latin typeface="Bahnschrift SemiBold Condensed" panose="020B0502040204020203" pitchFamily="34" charset="0"/>
            </a:rPr>
            <a:t>Customers</a:t>
          </a:r>
        </a:p>
      </xdr:txBody>
    </xdr:sp>
    <xdr:clientData/>
  </xdr:twoCellAnchor>
  <xdr:twoCellAnchor>
    <xdr:from>
      <xdr:col>7</xdr:col>
      <xdr:colOff>203200</xdr:colOff>
      <xdr:row>6</xdr:row>
      <xdr:rowOff>25400</xdr:rowOff>
    </xdr:from>
    <xdr:to>
      <xdr:col>8</xdr:col>
      <xdr:colOff>342900</xdr:colOff>
      <xdr:row>8</xdr:row>
      <xdr:rowOff>0</xdr:rowOff>
    </xdr:to>
    <xdr:sp macro="" textlink="'Customer PIVOT SHEET'!B9">
      <xdr:nvSpPr>
        <xdr:cNvPr id="16" name="TextBox 15">
          <a:extLst>
            <a:ext uri="{FF2B5EF4-FFF2-40B4-BE49-F238E27FC236}">
              <a16:creationId xmlns:a16="http://schemas.microsoft.com/office/drawing/2014/main" id="{5970B4A2-216B-9C1C-9DA9-1B2B74A55179}"/>
            </a:ext>
          </a:extLst>
        </xdr:cNvPr>
        <xdr:cNvSpPr txBox="1"/>
      </xdr:nvSpPr>
      <xdr:spPr>
        <a:xfrm>
          <a:off x="4470400" y="1130300"/>
          <a:ext cx="7493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79439E-8BB7-43AE-B821-9BEF401FBF17}" type="TxLink">
            <a:rPr lang="en-US" sz="2000" b="1" i="0" u="none" strike="noStrike">
              <a:solidFill>
                <a:srgbClr val="C00000"/>
              </a:solidFill>
              <a:latin typeface="+mn-lt"/>
              <a:cs typeface="Calibri"/>
            </a:rPr>
            <a:pPr/>
            <a:t>295</a:t>
          </a:fld>
          <a:endParaRPr lang="en-US" sz="2000" b="1">
            <a:solidFill>
              <a:srgbClr val="C00000"/>
            </a:solidFill>
            <a:latin typeface="+mn-lt"/>
          </a:endParaRPr>
        </a:p>
      </xdr:txBody>
    </xdr:sp>
    <xdr:clientData/>
  </xdr:twoCellAnchor>
  <xdr:twoCellAnchor>
    <xdr:from>
      <xdr:col>7</xdr:col>
      <xdr:colOff>114300</xdr:colOff>
      <xdr:row>7</xdr:row>
      <xdr:rowOff>171450</xdr:rowOff>
    </xdr:from>
    <xdr:to>
      <xdr:col>8</xdr:col>
      <xdr:colOff>387350</xdr:colOff>
      <xdr:row>8</xdr:row>
      <xdr:rowOff>171450</xdr:rowOff>
    </xdr:to>
    <xdr:sp macro="" textlink="">
      <xdr:nvSpPr>
        <xdr:cNvPr id="17" name="TextBox 16">
          <a:extLst>
            <a:ext uri="{FF2B5EF4-FFF2-40B4-BE49-F238E27FC236}">
              <a16:creationId xmlns:a16="http://schemas.microsoft.com/office/drawing/2014/main" id="{45F87157-5601-8268-23A1-5115972F5566}"/>
            </a:ext>
          </a:extLst>
        </xdr:cNvPr>
        <xdr:cNvSpPr txBox="1"/>
      </xdr:nvSpPr>
      <xdr:spPr>
        <a:xfrm>
          <a:off x="4381500" y="1460500"/>
          <a:ext cx="882650" cy="184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Bold Condensed" panose="020B0502040204020203" pitchFamily="34" charset="0"/>
            </a:rPr>
            <a:t>Total Conversion</a:t>
          </a:r>
        </a:p>
      </xdr:txBody>
    </xdr:sp>
    <xdr:clientData/>
  </xdr:twoCellAnchor>
  <xdr:twoCellAnchor>
    <xdr:from>
      <xdr:col>10</xdr:col>
      <xdr:colOff>565150</xdr:colOff>
      <xdr:row>6</xdr:row>
      <xdr:rowOff>25400</xdr:rowOff>
    </xdr:from>
    <xdr:to>
      <xdr:col>11</xdr:col>
      <xdr:colOff>374650</xdr:colOff>
      <xdr:row>8</xdr:row>
      <xdr:rowOff>6350</xdr:rowOff>
    </xdr:to>
    <xdr:sp macro="" textlink="'Customer PIVOT SHEET'!B13">
      <xdr:nvSpPr>
        <xdr:cNvPr id="22" name="TextBox 21">
          <a:extLst>
            <a:ext uri="{FF2B5EF4-FFF2-40B4-BE49-F238E27FC236}">
              <a16:creationId xmlns:a16="http://schemas.microsoft.com/office/drawing/2014/main" id="{9A8804AB-A71F-CCCB-B63F-86F910EE2B2A}"/>
            </a:ext>
          </a:extLst>
        </xdr:cNvPr>
        <xdr:cNvSpPr txBox="1"/>
      </xdr:nvSpPr>
      <xdr:spPr>
        <a:xfrm>
          <a:off x="6661150" y="1130300"/>
          <a:ext cx="419100"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B84945-9A6A-4896-B7AB-3E4B0F8CE873}" type="TxLink">
            <a:rPr lang="en-US" sz="2000" b="1" i="0" u="none" strike="noStrike">
              <a:solidFill>
                <a:srgbClr val="000000"/>
              </a:solidFill>
              <a:latin typeface="Calibri"/>
              <a:cs typeface="Calibri"/>
            </a:rPr>
            <a:pPr/>
            <a:t>5</a:t>
          </a:fld>
          <a:endParaRPr lang="en-US" sz="2000" b="1"/>
        </a:p>
      </xdr:txBody>
    </xdr:sp>
    <xdr:clientData/>
  </xdr:twoCellAnchor>
  <xdr:twoCellAnchor>
    <xdr:from>
      <xdr:col>10</xdr:col>
      <xdr:colOff>273050</xdr:colOff>
      <xdr:row>7</xdr:row>
      <xdr:rowOff>177800</xdr:rowOff>
    </xdr:from>
    <xdr:to>
      <xdr:col>12</xdr:col>
      <xdr:colOff>12700</xdr:colOff>
      <xdr:row>9</xdr:row>
      <xdr:rowOff>31750</xdr:rowOff>
    </xdr:to>
    <xdr:sp macro="" textlink="">
      <xdr:nvSpPr>
        <xdr:cNvPr id="23" name="TextBox 22">
          <a:extLst>
            <a:ext uri="{FF2B5EF4-FFF2-40B4-BE49-F238E27FC236}">
              <a16:creationId xmlns:a16="http://schemas.microsoft.com/office/drawing/2014/main" id="{8162A3B7-73E0-B0E4-3543-0B0FDB972529}"/>
            </a:ext>
          </a:extLst>
        </xdr:cNvPr>
        <xdr:cNvSpPr txBox="1"/>
      </xdr:nvSpPr>
      <xdr:spPr>
        <a:xfrm>
          <a:off x="6369050" y="1466850"/>
          <a:ext cx="9588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Bold Condensed" panose="020B0502040204020203" pitchFamily="34" charset="0"/>
            </a:rPr>
            <a:t>Avg</a:t>
          </a:r>
          <a:r>
            <a:rPr lang="en-US" sz="900" b="1" baseline="0">
              <a:latin typeface="Bahnschrift SemiBold Condensed" panose="020B0502040204020203" pitchFamily="34" charset="0"/>
            </a:rPr>
            <a:t> Pages per Visit</a:t>
          </a:r>
          <a:endParaRPr lang="en-US" sz="900" b="1">
            <a:latin typeface="Bahnschrift SemiBold Condensed" panose="020B0502040204020203" pitchFamily="34" charset="0"/>
          </a:endParaRPr>
        </a:p>
      </xdr:txBody>
    </xdr:sp>
    <xdr:clientData/>
  </xdr:twoCellAnchor>
  <xdr:oneCellAnchor>
    <xdr:from>
      <xdr:col>14</xdr:col>
      <xdr:colOff>127000</xdr:colOff>
      <xdr:row>6</xdr:row>
      <xdr:rowOff>19050</xdr:rowOff>
    </xdr:from>
    <xdr:ext cx="673100" cy="405432"/>
    <xdr:sp macro="" textlink="'Customer PIVOT SHEET'!B17">
      <xdr:nvSpPr>
        <xdr:cNvPr id="24" name="TextBox 23">
          <a:extLst>
            <a:ext uri="{FF2B5EF4-FFF2-40B4-BE49-F238E27FC236}">
              <a16:creationId xmlns:a16="http://schemas.microsoft.com/office/drawing/2014/main" id="{86C17CD5-0F1F-43BF-C98B-926472A8BAA9}"/>
            </a:ext>
          </a:extLst>
        </xdr:cNvPr>
        <xdr:cNvSpPr txBox="1"/>
      </xdr:nvSpPr>
      <xdr:spPr>
        <a:xfrm flipH="1">
          <a:off x="8661400" y="1123950"/>
          <a:ext cx="673100" cy="405432"/>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F421B52-914F-4D0F-8B0B-2BD8619B6161}" type="TxLink">
            <a:rPr lang="en-US" sz="2000" b="1" i="0" u="none" strike="noStrike">
              <a:solidFill>
                <a:srgbClr val="C00000"/>
              </a:solidFill>
              <a:latin typeface="Calibri"/>
              <a:cs typeface="Calibri"/>
            </a:rPr>
            <a:pPr/>
            <a:t>7.91</a:t>
          </a:fld>
          <a:endParaRPr lang="en-US" sz="2000" b="1">
            <a:solidFill>
              <a:srgbClr val="C00000"/>
            </a:solidFill>
          </a:endParaRPr>
        </a:p>
      </xdr:txBody>
    </xdr:sp>
    <xdr:clientData/>
  </xdr:oneCellAnchor>
  <xdr:twoCellAnchor>
    <xdr:from>
      <xdr:col>13</xdr:col>
      <xdr:colOff>577850</xdr:colOff>
      <xdr:row>7</xdr:row>
      <xdr:rowOff>177800</xdr:rowOff>
    </xdr:from>
    <xdr:to>
      <xdr:col>15</xdr:col>
      <xdr:colOff>444500</xdr:colOff>
      <xdr:row>9</xdr:row>
      <xdr:rowOff>25400</xdr:rowOff>
    </xdr:to>
    <xdr:sp macro="" textlink="">
      <xdr:nvSpPr>
        <xdr:cNvPr id="25" name="TextBox 24">
          <a:extLst>
            <a:ext uri="{FF2B5EF4-FFF2-40B4-BE49-F238E27FC236}">
              <a16:creationId xmlns:a16="http://schemas.microsoft.com/office/drawing/2014/main" id="{0AF89D2A-2737-7FB0-FAED-1E6C6F818076}"/>
            </a:ext>
          </a:extLst>
        </xdr:cNvPr>
        <xdr:cNvSpPr txBox="1"/>
      </xdr:nvSpPr>
      <xdr:spPr>
        <a:xfrm>
          <a:off x="8502650" y="1466850"/>
          <a:ext cx="108585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Bold Condensed" panose="020B0502040204020203" pitchFamily="34" charset="0"/>
            </a:rPr>
            <a:t>Avg Time</a:t>
          </a:r>
          <a:r>
            <a:rPr lang="en-US" sz="900" b="1" baseline="0">
              <a:latin typeface="Bahnschrift SemiBold Condensed" panose="020B0502040204020203" pitchFamily="34" charset="0"/>
            </a:rPr>
            <a:t> on Site(mins)</a:t>
          </a:r>
          <a:endParaRPr lang="en-US" sz="900" b="1">
            <a:latin typeface="Bahnschrift SemiBold Condensed" panose="020B0502040204020203" pitchFamily="34" charset="0"/>
          </a:endParaRPr>
        </a:p>
      </xdr:txBody>
    </xdr:sp>
    <xdr:clientData/>
  </xdr:twoCellAnchor>
  <xdr:twoCellAnchor>
    <xdr:from>
      <xdr:col>17</xdr:col>
      <xdr:colOff>241300</xdr:colOff>
      <xdr:row>6</xdr:row>
      <xdr:rowOff>25400</xdr:rowOff>
    </xdr:from>
    <xdr:to>
      <xdr:col>18</xdr:col>
      <xdr:colOff>520700</xdr:colOff>
      <xdr:row>7</xdr:row>
      <xdr:rowOff>165100</xdr:rowOff>
    </xdr:to>
    <xdr:sp macro="" textlink="'Customer PIVOT SHEET'!B20">
      <xdr:nvSpPr>
        <xdr:cNvPr id="26" name="TextBox 25">
          <a:extLst>
            <a:ext uri="{FF2B5EF4-FFF2-40B4-BE49-F238E27FC236}">
              <a16:creationId xmlns:a16="http://schemas.microsoft.com/office/drawing/2014/main" id="{DFD08F5E-6AE6-938F-D61D-F426CCBA6780}"/>
            </a:ext>
          </a:extLst>
        </xdr:cNvPr>
        <xdr:cNvSpPr txBox="1"/>
      </xdr:nvSpPr>
      <xdr:spPr>
        <a:xfrm>
          <a:off x="10604500" y="1130300"/>
          <a:ext cx="8890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036880-893E-49AE-80E4-BD31C4610D62}" type="TxLink">
            <a:rPr lang="en-US" sz="2000" b="1" i="0" u="none" strike="noStrike">
              <a:solidFill>
                <a:srgbClr val="C00000"/>
              </a:solidFill>
              <a:latin typeface="Calibri"/>
              <a:cs typeface="Calibri"/>
            </a:rPr>
            <a:pPr/>
            <a:t>2442</a:t>
          </a:fld>
          <a:endParaRPr lang="en-US" sz="2000" b="1">
            <a:solidFill>
              <a:srgbClr val="C00000"/>
            </a:solidFill>
          </a:endParaRPr>
        </a:p>
      </xdr:txBody>
    </xdr:sp>
    <xdr:clientData/>
  </xdr:twoCellAnchor>
  <xdr:twoCellAnchor>
    <xdr:from>
      <xdr:col>17</xdr:col>
      <xdr:colOff>184150</xdr:colOff>
      <xdr:row>8</xdr:row>
      <xdr:rowOff>0</xdr:rowOff>
    </xdr:from>
    <xdr:to>
      <xdr:col>18</xdr:col>
      <xdr:colOff>488950</xdr:colOff>
      <xdr:row>9</xdr:row>
      <xdr:rowOff>25400</xdr:rowOff>
    </xdr:to>
    <xdr:sp macro="" textlink="">
      <xdr:nvSpPr>
        <xdr:cNvPr id="27" name="TextBox 26">
          <a:extLst>
            <a:ext uri="{FF2B5EF4-FFF2-40B4-BE49-F238E27FC236}">
              <a16:creationId xmlns:a16="http://schemas.microsoft.com/office/drawing/2014/main" id="{6D7D619C-0302-C606-D0D8-4B8F5D74EE10}"/>
            </a:ext>
          </a:extLst>
        </xdr:cNvPr>
        <xdr:cNvSpPr txBox="1"/>
      </xdr:nvSpPr>
      <xdr:spPr>
        <a:xfrm>
          <a:off x="10547350" y="1473200"/>
          <a:ext cx="9144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Bahnschrift SemiBold Condensed" panose="020B0502040204020203" pitchFamily="34" charset="0"/>
            </a:rPr>
            <a:t>Avg Loyalty</a:t>
          </a:r>
          <a:r>
            <a:rPr lang="en-US" sz="900" b="1" baseline="0">
              <a:latin typeface="Bahnschrift SemiBold Condensed" panose="020B0502040204020203" pitchFamily="34" charset="0"/>
            </a:rPr>
            <a:t> Points</a:t>
          </a:r>
          <a:endParaRPr lang="en-US" sz="900" b="1">
            <a:latin typeface="Bahnschrift SemiBold Condensed" panose="020B0502040204020203" pitchFamily="34" charset="0"/>
          </a:endParaRPr>
        </a:p>
      </xdr:txBody>
    </xdr:sp>
    <xdr:clientData/>
  </xdr:twoCellAnchor>
  <xdr:twoCellAnchor editAs="oneCell">
    <xdr:from>
      <xdr:col>3</xdr:col>
      <xdr:colOff>107950</xdr:colOff>
      <xdr:row>2</xdr:row>
      <xdr:rowOff>139700</xdr:rowOff>
    </xdr:from>
    <xdr:to>
      <xdr:col>11</xdr:col>
      <xdr:colOff>25400</xdr:colOff>
      <xdr:row>5</xdr:row>
      <xdr:rowOff>12700</xdr:rowOff>
    </xdr:to>
    <mc:AlternateContent xmlns:mc="http://schemas.openxmlformats.org/markup-compatibility/2006" xmlns:a14="http://schemas.microsoft.com/office/drawing/2010/main">
      <mc:Choice Requires="a14">
        <xdr:graphicFrame macro="">
          <xdr:nvGraphicFramePr>
            <xdr:cNvPr id="20" name="Income Group">
              <a:extLst>
                <a:ext uri="{FF2B5EF4-FFF2-40B4-BE49-F238E27FC236}">
                  <a16:creationId xmlns:a16="http://schemas.microsoft.com/office/drawing/2014/main" id="{40CC2957-39A3-42B5-B22F-D4065AFDAD32}"/>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936750" y="508000"/>
              <a:ext cx="4794250" cy="42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2</xdr:row>
      <xdr:rowOff>126999</xdr:rowOff>
    </xdr:from>
    <xdr:to>
      <xdr:col>19</xdr:col>
      <xdr:colOff>0</xdr:colOff>
      <xdr:row>5</xdr:row>
      <xdr:rowOff>19050</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A14032CD-B396-4E6F-B617-BBD6CFA143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72300" y="495299"/>
              <a:ext cx="4610100" cy="44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101600</xdr:colOff>
      <xdr:row>12</xdr:row>
      <xdr:rowOff>31750</xdr:rowOff>
    </xdr:from>
    <xdr:to>
      <xdr:col>19</xdr:col>
      <xdr:colOff>76199</xdr:colOff>
      <xdr:row>30</xdr:row>
      <xdr:rowOff>146050</xdr:rowOff>
    </xdr:to>
    <xdr:graphicFrame macro="">
      <xdr:nvGraphicFramePr>
        <xdr:cNvPr id="30" name="Chart 29">
          <a:extLst>
            <a:ext uri="{FF2B5EF4-FFF2-40B4-BE49-F238E27FC236}">
              <a16:creationId xmlns:a16="http://schemas.microsoft.com/office/drawing/2014/main" id="{C78E757B-4B97-4C06-8F86-075822BBC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171450</xdr:colOff>
      <xdr:row>10</xdr:row>
      <xdr:rowOff>95250</xdr:rowOff>
    </xdr:from>
    <xdr:to>
      <xdr:col>18</xdr:col>
      <xdr:colOff>514350</xdr:colOff>
      <xdr:row>12</xdr:row>
      <xdr:rowOff>0</xdr:rowOff>
    </xdr:to>
    <xdr:sp macro="" textlink="">
      <xdr:nvSpPr>
        <xdr:cNvPr id="32" name="TextBox 31">
          <a:extLst>
            <a:ext uri="{FF2B5EF4-FFF2-40B4-BE49-F238E27FC236}">
              <a16:creationId xmlns:a16="http://schemas.microsoft.com/office/drawing/2014/main" id="{35E08E72-8549-1079-6C85-DC43D3485CEB}"/>
            </a:ext>
          </a:extLst>
        </xdr:cNvPr>
        <xdr:cNvSpPr txBox="1"/>
      </xdr:nvSpPr>
      <xdr:spPr>
        <a:xfrm>
          <a:off x="8096250" y="1936750"/>
          <a:ext cx="33909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Customer Segment Performance by Age group</a:t>
          </a:r>
        </a:p>
      </xdr:txBody>
    </xdr:sp>
    <xdr:clientData/>
  </xdr:twoCellAnchor>
  <xdr:twoCellAnchor>
    <xdr:from>
      <xdr:col>8</xdr:col>
      <xdr:colOff>44450</xdr:colOff>
      <xdr:row>12</xdr:row>
      <xdr:rowOff>38100</xdr:rowOff>
    </xdr:from>
    <xdr:to>
      <xdr:col>12</xdr:col>
      <xdr:colOff>501650</xdr:colOff>
      <xdr:row>20</xdr:row>
      <xdr:rowOff>82550</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9DBD6ACD-5668-4DA8-8A86-74FC04530A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21250" y="2247900"/>
              <a:ext cx="2895600" cy="151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457200</xdr:colOff>
      <xdr:row>10</xdr:row>
      <xdr:rowOff>114300</xdr:rowOff>
    </xdr:from>
    <xdr:to>
      <xdr:col>12</xdr:col>
      <xdr:colOff>196850</xdr:colOff>
      <xdr:row>12</xdr:row>
      <xdr:rowOff>44450</xdr:rowOff>
    </xdr:to>
    <xdr:sp macro="" textlink="">
      <xdr:nvSpPr>
        <xdr:cNvPr id="35" name="TextBox 34">
          <a:extLst>
            <a:ext uri="{FF2B5EF4-FFF2-40B4-BE49-F238E27FC236}">
              <a16:creationId xmlns:a16="http://schemas.microsoft.com/office/drawing/2014/main" id="{82093547-3D51-C4A2-5242-0B8C5BE5B583}"/>
            </a:ext>
          </a:extLst>
        </xdr:cNvPr>
        <xdr:cNvSpPr txBox="1"/>
      </xdr:nvSpPr>
      <xdr:spPr>
        <a:xfrm>
          <a:off x="5334000" y="1955800"/>
          <a:ext cx="2178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Customer Conversion Funnel</a:t>
          </a:r>
        </a:p>
      </xdr:txBody>
    </xdr:sp>
    <xdr:clientData/>
  </xdr:twoCellAnchor>
  <xdr:twoCellAnchor>
    <xdr:from>
      <xdr:col>3</xdr:col>
      <xdr:colOff>222250</xdr:colOff>
      <xdr:row>22</xdr:row>
      <xdr:rowOff>114300</xdr:rowOff>
    </xdr:from>
    <xdr:to>
      <xdr:col>7</xdr:col>
      <xdr:colOff>393700</xdr:colOff>
      <xdr:row>30</xdr:row>
      <xdr:rowOff>69850</xdr:rowOff>
    </xdr:to>
    <xdr:graphicFrame macro="">
      <xdr:nvGraphicFramePr>
        <xdr:cNvPr id="37" name="Chart 36">
          <a:extLst>
            <a:ext uri="{FF2B5EF4-FFF2-40B4-BE49-F238E27FC236}">
              <a16:creationId xmlns:a16="http://schemas.microsoft.com/office/drawing/2014/main" id="{4BE7FE93-3485-436D-A1E0-21852BAF9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444500</xdr:colOff>
      <xdr:row>21</xdr:row>
      <xdr:rowOff>44450</xdr:rowOff>
    </xdr:from>
    <xdr:to>
      <xdr:col>7</xdr:col>
      <xdr:colOff>298450</xdr:colOff>
      <xdr:row>22</xdr:row>
      <xdr:rowOff>120650</xdr:rowOff>
    </xdr:to>
    <xdr:sp macro="" textlink="">
      <xdr:nvSpPr>
        <xdr:cNvPr id="38" name="TextBox 37">
          <a:extLst>
            <a:ext uri="{FF2B5EF4-FFF2-40B4-BE49-F238E27FC236}">
              <a16:creationId xmlns:a16="http://schemas.microsoft.com/office/drawing/2014/main" id="{62A1E5DC-33EC-4725-AD42-5A4F60282B8B}"/>
            </a:ext>
          </a:extLst>
        </xdr:cNvPr>
        <xdr:cNvSpPr txBox="1"/>
      </xdr:nvSpPr>
      <xdr:spPr>
        <a:xfrm>
          <a:off x="2273300" y="3911600"/>
          <a:ext cx="22923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Customer</a:t>
          </a:r>
          <a:r>
            <a:rPr lang="en-US" sz="1100" b="1" baseline="0">
              <a:latin typeface="Bahnschrift SemiBold Condensed" panose="020B0502040204020203" pitchFamily="34" charset="0"/>
            </a:rPr>
            <a:t> Segmentation by Gender</a:t>
          </a:r>
          <a:endParaRPr lang="en-US" sz="1100" b="1">
            <a:latin typeface="Bahnschrift SemiBold Condensed" panose="020B0502040204020203" pitchFamily="34" charset="0"/>
          </a:endParaRPr>
        </a:p>
      </xdr:txBody>
    </xdr:sp>
    <xdr:clientData/>
  </xdr:twoCellAnchor>
  <xdr:twoCellAnchor>
    <xdr:from>
      <xdr:col>3</xdr:col>
      <xdr:colOff>222250</xdr:colOff>
      <xdr:row>12</xdr:row>
      <xdr:rowOff>38100</xdr:rowOff>
    </xdr:from>
    <xdr:to>
      <xdr:col>7</xdr:col>
      <xdr:colOff>577850</xdr:colOff>
      <xdr:row>20</xdr:row>
      <xdr:rowOff>31750</xdr:rowOff>
    </xdr:to>
    <xdr:graphicFrame macro="">
      <xdr:nvGraphicFramePr>
        <xdr:cNvPr id="40" name="Chart 39">
          <a:extLst>
            <a:ext uri="{FF2B5EF4-FFF2-40B4-BE49-F238E27FC236}">
              <a16:creationId xmlns:a16="http://schemas.microsoft.com/office/drawing/2014/main" id="{A9AF0A49-0996-4E86-B282-F22AAA530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361950</xdr:colOff>
      <xdr:row>10</xdr:row>
      <xdr:rowOff>114300</xdr:rowOff>
    </xdr:from>
    <xdr:to>
      <xdr:col>7</xdr:col>
      <xdr:colOff>381000</xdr:colOff>
      <xdr:row>11</xdr:row>
      <xdr:rowOff>146050</xdr:rowOff>
    </xdr:to>
    <xdr:sp macro="" textlink="">
      <xdr:nvSpPr>
        <xdr:cNvPr id="41" name="TextBox 40">
          <a:extLst>
            <a:ext uri="{FF2B5EF4-FFF2-40B4-BE49-F238E27FC236}">
              <a16:creationId xmlns:a16="http://schemas.microsoft.com/office/drawing/2014/main" id="{D3A32946-4410-A1FD-29CA-0D728197BED1}"/>
            </a:ext>
          </a:extLst>
        </xdr:cNvPr>
        <xdr:cNvSpPr txBox="1"/>
      </xdr:nvSpPr>
      <xdr:spPr>
        <a:xfrm>
          <a:off x="2190750" y="1955800"/>
          <a:ext cx="245745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Average Engagement by Income group</a:t>
          </a:r>
        </a:p>
      </xdr:txBody>
    </xdr:sp>
    <xdr:clientData/>
  </xdr:twoCellAnchor>
  <xdr:twoCellAnchor>
    <xdr:from>
      <xdr:col>8</xdr:col>
      <xdr:colOff>69850</xdr:colOff>
      <xdr:row>22</xdr:row>
      <xdr:rowOff>120650</xdr:rowOff>
    </xdr:from>
    <xdr:to>
      <xdr:col>12</xdr:col>
      <xdr:colOff>495300</xdr:colOff>
      <xdr:row>30</xdr:row>
      <xdr:rowOff>114300</xdr:rowOff>
    </xdr:to>
    <xdr:graphicFrame macro="">
      <xdr:nvGraphicFramePr>
        <xdr:cNvPr id="43" name="Chart 42">
          <a:extLst>
            <a:ext uri="{FF2B5EF4-FFF2-40B4-BE49-F238E27FC236}">
              <a16:creationId xmlns:a16="http://schemas.microsoft.com/office/drawing/2014/main" id="{901C3ABC-F3DE-4AF1-92ED-E2436FA91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298450</xdr:colOff>
      <xdr:row>21</xdr:row>
      <xdr:rowOff>44450</xdr:rowOff>
    </xdr:from>
    <xdr:to>
      <xdr:col>12</xdr:col>
      <xdr:colOff>285750</xdr:colOff>
      <xdr:row>22</xdr:row>
      <xdr:rowOff>50800</xdr:rowOff>
    </xdr:to>
    <xdr:sp macro="" textlink="">
      <xdr:nvSpPr>
        <xdr:cNvPr id="44" name="TextBox 43">
          <a:extLst>
            <a:ext uri="{FF2B5EF4-FFF2-40B4-BE49-F238E27FC236}">
              <a16:creationId xmlns:a16="http://schemas.microsoft.com/office/drawing/2014/main" id="{07CEB98F-DCDD-DD3D-4AF4-B5E33577E899}"/>
            </a:ext>
          </a:extLst>
        </xdr:cNvPr>
        <xdr:cNvSpPr txBox="1"/>
      </xdr:nvSpPr>
      <xdr:spPr>
        <a:xfrm>
          <a:off x="5175250" y="3911600"/>
          <a:ext cx="2425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ahnschrift SemiBold Condensed" panose="020B0502040204020203" pitchFamily="34" charset="0"/>
            </a:rPr>
            <a:t>Distribution</a:t>
          </a:r>
          <a:r>
            <a:rPr lang="en-US" sz="1100" b="1" baseline="0">
              <a:latin typeface="Bahnschrift SemiBold Condensed" panose="020B0502040204020203" pitchFamily="34" charset="0"/>
            </a:rPr>
            <a:t> of Time on Site</a:t>
          </a:r>
          <a:endParaRPr lang="en-US" sz="1100" b="1">
            <a:latin typeface="Bahnschrift SemiBold Condensed" panose="020B0502040204020203" pitchFamily="34" charset="0"/>
          </a:endParaRPr>
        </a:p>
      </xdr:txBody>
    </xdr:sp>
    <xdr:clientData/>
  </xdr:twoCellAnchor>
  <xdr:twoCellAnchor>
    <xdr:from>
      <xdr:col>0</xdr:col>
      <xdr:colOff>120650</xdr:colOff>
      <xdr:row>7</xdr:row>
      <xdr:rowOff>31750</xdr:rowOff>
    </xdr:from>
    <xdr:to>
      <xdr:col>2</xdr:col>
      <xdr:colOff>323850</xdr:colOff>
      <xdr:row>9</xdr:row>
      <xdr:rowOff>99633</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451EF597-BA6E-448E-A232-CEACDF67F188}"/>
            </a:ext>
          </a:extLst>
        </xdr:cNvPr>
        <xdr:cNvSpPr/>
      </xdr:nvSpPr>
      <xdr:spPr>
        <a:xfrm>
          <a:off x="120650" y="1320800"/>
          <a:ext cx="1422400" cy="436183"/>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11</xdr:row>
      <xdr:rowOff>12700</xdr:rowOff>
    </xdr:from>
    <xdr:to>
      <xdr:col>2</xdr:col>
      <xdr:colOff>317500</xdr:colOff>
      <xdr:row>13</xdr:row>
      <xdr:rowOff>80583</xdr:rowOff>
    </xdr:to>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DCCA00F9-DE59-301D-E6EA-8B6E8DCE3FED}"/>
            </a:ext>
          </a:extLst>
        </xdr:cNvPr>
        <xdr:cNvSpPr/>
      </xdr:nvSpPr>
      <xdr:spPr>
        <a:xfrm>
          <a:off x="114300" y="2038350"/>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14</xdr:row>
      <xdr:rowOff>146050</xdr:rowOff>
    </xdr:from>
    <xdr:to>
      <xdr:col>2</xdr:col>
      <xdr:colOff>330200</xdr:colOff>
      <xdr:row>17</xdr:row>
      <xdr:rowOff>29783</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827069A3-23F2-309D-ECE3-22B98CEC179A}"/>
            </a:ext>
          </a:extLst>
        </xdr:cNvPr>
        <xdr:cNvSpPr/>
      </xdr:nvSpPr>
      <xdr:spPr>
        <a:xfrm>
          <a:off x="127000" y="2724150"/>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120650</xdr:colOff>
      <xdr:row>18</xdr:row>
      <xdr:rowOff>88900</xdr:rowOff>
    </xdr:from>
    <xdr:to>
      <xdr:col>2</xdr:col>
      <xdr:colOff>323850</xdr:colOff>
      <xdr:row>20</xdr:row>
      <xdr:rowOff>156783</xdr:rowOff>
    </xdr:to>
    <xdr:sp macro="" textlink="">
      <xdr:nvSpPr>
        <xdr:cNvPr id="42" name="Rectangle: Rounded Corners 41">
          <a:hlinkClick xmlns:r="http://schemas.openxmlformats.org/officeDocument/2006/relationships" r:id="rId8"/>
          <a:extLst>
            <a:ext uri="{FF2B5EF4-FFF2-40B4-BE49-F238E27FC236}">
              <a16:creationId xmlns:a16="http://schemas.microsoft.com/office/drawing/2014/main" id="{BDD56956-DBA2-1311-AEFD-0ACCE81994E0}"/>
            </a:ext>
          </a:extLst>
        </xdr:cNvPr>
        <xdr:cNvSpPr/>
      </xdr:nvSpPr>
      <xdr:spPr>
        <a:xfrm>
          <a:off x="120650" y="3403600"/>
          <a:ext cx="1422400" cy="43618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7</xdr:row>
      <xdr:rowOff>114300</xdr:rowOff>
    </xdr:from>
    <xdr:to>
      <xdr:col>2</xdr:col>
      <xdr:colOff>184150</xdr:colOff>
      <xdr:row>9</xdr:row>
      <xdr:rowOff>31750</xdr:rowOff>
    </xdr:to>
    <xdr:sp macro="" textlink="">
      <xdr:nvSpPr>
        <xdr:cNvPr id="46" name="TextBox 45">
          <a:extLst>
            <a:ext uri="{FF2B5EF4-FFF2-40B4-BE49-F238E27FC236}">
              <a16:creationId xmlns:a16="http://schemas.microsoft.com/office/drawing/2014/main" id="{809299C2-F731-AD55-2BD8-CF496119016A}"/>
            </a:ext>
          </a:extLst>
        </xdr:cNvPr>
        <xdr:cNvSpPr txBox="1"/>
      </xdr:nvSpPr>
      <xdr:spPr>
        <a:xfrm>
          <a:off x="209550" y="1403350"/>
          <a:ext cx="1193800" cy="2857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Arial Narrow" panose="020B0606020202030204" pitchFamily="34" charset="0"/>
            </a:rPr>
            <a:t>Overview</a:t>
          </a:r>
        </a:p>
      </xdr:txBody>
    </xdr:sp>
    <xdr:clientData/>
  </xdr:twoCellAnchor>
  <xdr:twoCellAnchor>
    <xdr:from>
      <xdr:col>0</xdr:col>
      <xdr:colOff>165100</xdr:colOff>
      <xdr:row>11</xdr:row>
      <xdr:rowOff>88900</xdr:rowOff>
    </xdr:from>
    <xdr:to>
      <xdr:col>2</xdr:col>
      <xdr:colOff>254000</xdr:colOff>
      <xdr:row>13</xdr:row>
      <xdr:rowOff>12700</xdr:rowOff>
    </xdr:to>
    <xdr:sp macro="" textlink="">
      <xdr:nvSpPr>
        <xdr:cNvPr id="48" name="TextBox 47">
          <a:extLst>
            <a:ext uri="{FF2B5EF4-FFF2-40B4-BE49-F238E27FC236}">
              <a16:creationId xmlns:a16="http://schemas.microsoft.com/office/drawing/2014/main" id="{D3D9D296-FA9C-A4B5-8326-3923763C1339}"/>
            </a:ext>
          </a:extLst>
        </xdr:cNvPr>
        <xdr:cNvSpPr txBox="1"/>
      </xdr:nvSpPr>
      <xdr:spPr>
        <a:xfrm>
          <a:off x="165100" y="2114550"/>
          <a:ext cx="13081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Marketing Analysis</a:t>
          </a:r>
        </a:p>
      </xdr:txBody>
    </xdr:sp>
    <xdr:clientData/>
  </xdr:twoCellAnchor>
  <xdr:twoCellAnchor>
    <xdr:from>
      <xdr:col>0</xdr:col>
      <xdr:colOff>165100</xdr:colOff>
      <xdr:row>15</xdr:row>
      <xdr:rowOff>44450</xdr:rowOff>
    </xdr:from>
    <xdr:to>
      <xdr:col>2</xdr:col>
      <xdr:colOff>285750</xdr:colOff>
      <xdr:row>16</xdr:row>
      <xdr:rowOff>127000</xdr:rowOff>
    </xdr:to>
    <xdr:sp macro="" textlink="">
      <xdr:nvSpPr>
        <xdr:cNvPr id="49" name="TextBox 48">
          <a:extLst>
            <a:ext uri="{FF2B5EF4-FFF2-40B4-BE49-F238E27FC236}">
              <a16:creationId xmlns:a16="http://schemas.microsoft.com/office/drawing/2014/main" id="{EC0FED9A-F722-2EA3-6B71-7A5352778DF9}"/>
            </a:ext>
          </a:extLst>
        </xdr:cNvPr>
        <xdr:cNvSpPr txBox="1"/>
      </xdr:nvSpPr>
      <xdr:spPr>
        <a:xfrm>
          <a:off x="165100" y="2806700"/>
          <a:ext cx="13398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Insights</a:t>
          </a:r>
        </a:p>
      </xdr:txBody>
    </xdr:sp>
    <xdr:clientData/>
  </xdr:twoCellAnchor>
  <xdr:twoCellAnchor>
    <xdr:from>
      <xdr:col>0</xdr:col>
      <xdr:colOff>171450</xdr:colOff>
      <xdr:row>18</xdr:row>
      <xdr:rowOff>152400</xdr:rowOff>
    </xdr:from>
    <xdr:to>
      <xdr:col>2</xdr:col>
      <xdr:colOff>279400</xdr:colOff>
      <xdr:row>20</xdr:row>
      <xdr:rowOff>88900</xdr:rowOff>
    </xdr:to>
    <xdr:sp macro="" textlink="">
      <xdr:nvSpPr>
        <xdr:cNvPr id="50" name="TextBox 49">
          <a:extLst>
            <a:ext uri="{FF2B5EF4-FFF2-40B4-BE49-F238E27FC236}">
              <a16:creationId xmlns:a16="http://schemas.microsoft.com/office/drawing/2014/main" id="{89F7EA5A-1FE3-13F4-F5BB-61028E826035}"/>
            </a:ext>
          </a:extLst>
        </xdr:cNvPr>
        <xdr:cNvSpPr txBox="1"/>
      </xdr:nvSpPr>
      <xdr:spPr>
        <a:xfrm>
          <a:off x="171450" y="3467100"/>
          <a:ext cx="13271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Recommendations</a:t>
          </a:r>
        </a:p>
      </xdr:txBody>
    </xdr:sp>
    <xdr:clientData/>
  </xdr:twoCellAnchor>
  <xdr:twoCellAnchor editAs="oneCell">
    <xdr:from>
      <xdr:col>2</xdr:col>
      <xdr:colOff>171450</xdr:colOff>
      <xdr:row>27</xdr:row>
      <xdr:rowOff>44450</xdr:rowOff>
    </xdr:from>
    <xdr:to>
      <xdr:col>2</xdr:col>
      <xdr:colOff>558800</xdr:colOff>
      <xdr:row>29</xdr:row>
      <xdr:rowOff>107950</xdr:rowOff>
    </xdr:to>
    <xdr:pic>
      <xdr:nvPicPr>
        <xdr:cNvPr id="51" name="Picture 50">
          <a:extLst>
            <a:ext uri="{FF2B5EF4-FFF2-40B4-BE49-F238E27FC236}">
              <a16:creationId xmlns:a16="http://schemas.microsoft.com/office/drawing/2014/main" id="{092FFA77-E177-4FEB-B2F3-10D6F713E5E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 y="5016500"/>
          <a:ext cx="387350" cy="431800"/>
        </a:xfrm>
        <a:prstGeom prst="rect">
          <a:avLst/>
        </a:prstGeom>
      </xdr:spPr>
    </xdr:pic>
    <xdr:clientData/>
  </xdr:twoCellAnchor>
  <xdr:twoCellAnchor editAs="oneCell">
    <xdr:from>
      <xdr:col>1</xdr:col>
      <xdr:colOff>69850</xdr:colOff>
      <xdr:row>0</xdr:row>
      <xdr:rowOff>63500</xdr:rowOff>
    </xdr:from>
    <xdr:to>
      <xdr:col>1</xdr:col>
      <xdr:colOff>501650</xdr:colOff>
      <xdr:row>2</xdr:row>
      <xdr:rowOff>114300</xdr:rowOff>
    </xdr:to>
    <xdr:pic>
      <xdr:nvPicPr>
        <xdr:cNvPr id="52" name="Picture 51">
          <a:extLst>
            <a:ext uri="{FF2B5EF4-FFF2-40B4-BE49-F238E27FC236}">
              <a16:creationId xmlns:a16="http://schemas.microsoft.com/office/drawing/2014/main" id="{C6DEE339-B6FC-41B9-ADC6-BF785EA9C99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79450" y="63500"/>
          <a:ext cx="431800" cy="419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285750</xdr:colOff>
      <xdr:row>29</xdr:row>
      <xdr:rowOff>180975</xdr:rowOff>
    </xdr:from>
    <xdr:to>
      <xdr:col>8</xdr:col>
      <xdr:colOff>920750</xdr:colOff>
      <xdr:row>45</xdr:row>
      <xdr:rowOff>123825</xdr:rowOff>
    </xdr:to>
    <xdr:graphicFrame macro="">
      <xdr:nvGraphicFramePr>
        <xdr:cNvPr id="2" name="Chart 1">
          <a:extLst>
            <a:ext uri="{FF2B5EF4-FFF2-40B4-BE49-F238E27FC236}">
              <a16:creationId xmlns:a16="http://schemas.microsoft.com/office/drawing/2014/main" id="{7B0B1D2A-F745-D48C-F0E9-FFB31848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866775</xdr:colOff>
      <xdr:row>6</xdr:row>
      <xdr:rowOff>180975</xdr:rowOff>
    </xdr:from>
    <xdr:to>
      <xdr:col>15</xdr:col>
      <xdr:colOff>752475</xdr:colOff>
      <xdr:row>21</xdr:row>
      <xdr:rowOff>161925</xdr:rowOff>
    </xdr:to>
    <xdr:graphicFrame macro="">
      <xdr:nvGraphicFramePr>
        <xdr:cNvPr id="3" name="Chart 2">
          <a:extLst>
            <a:ext uri="{FF2B5EF4-FFF2-40B4-BE49-F238E27FC236}">
              <a16:creationId xmlns:a16="http://schemas.microsoft.com/office/drawing/2014/main" id="{17C65E27-6AEF-B40C-DCF4-FC37AA101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17</xdr:row>
      <xdr:rowOff>15875</xdr:rowOff>
    </xdr:from>
    <xdr:to>
      <xdr:col>6</xdr:col>
      <xdr:colOff>831850</xdr:colOff>
      <xdr:row>31</xdr:row>
      <xdr:rowOff>180975</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ADAE0E9D-14A6-1D18-FB10-B059BC04FD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600" y="31464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390525</xdr:colOff>
      <xdr:row>3</xdr:row>
      <xdr:rowOff>133350</xdr:rowOff>
    </xdr:from>
    <xdr:to>
      <xdr:col>18</xdr:col>
      <xdr:colOff>85725</xdr:colOff>
      <xdr:row>18</xdr:row>
      <xdr:rowOff>114300</xdr:rowOff>
    </xdr:to>
    <xdr:graphicFrame macro="">
      <xdr:nvGraphicFramePr>
        <xdr:cNvPr id="2" name="Chart 1">
          <a:extLst>
            <a:ext uri="{FF2B5EF4-FFF2-40B4-BE49-F238E27FC236}">
              <a16:creationId xmlns:a16="http://schemas.microsoft.com/office/drawing/2014/main" id="{A660488E-BC50-1FDF-2383-ABD6F3E16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288925</xdr:colOff>
      <xdr:row>11</xdr:row>
      <xdr:rowOff>95250</xdr:rowOff>
    </xdr:from>
    <xdr:to>
      <xdr:col>8</xdr:col>
      <xdr:colOff>327025</xdr:colOff>
      <xdr:row>26</xdr:row>
      <xdr:rowOff>76200</xdr:rowOff>
    </xdr:to>
    <xdr:graphicFrame macro="">
      <xdr:nvGraphicFramePr>
        <xdr:cNvPr id="2" name="Chart 1">
          <a:extLst>
            <a:ext uri="{FF2B5EF4-FFF2-40B4-BE49-F238E27FC236}">
              <a16:creationId xmlns:a16="http://schemas.microsoft.com/office/drawing/2014/main" id="{875D26BD-4292-9A59-4F15-B39E36A4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463550</xdr:colOff>
      <xdr:row>10</xdr:row>
      <xdr:rowOff>6350</xdr:rowOff>
    </xdr:from>
    <xdr:to>
      <xdr:col>13</xdr:col>
      <xdr:colOff>622300</xdr:colOff>
      <xdr:row>25</xdr:row>
      <xdr:rowOff>12700</xdr:rowOff>
    </xdr:to>
    <xdr:graphicFrame macro="">
      <xdr:nvGraphicFramePr>
        <xdr:cNvPr id="3" name="Chart 2">
          <a:extLst>
            <a:ext uri="{FF2B5EF4-FFF2-40B4-BE49-F238E27FC236}">
              <a16:creationId xmlns:a16="http://schemas.microsoft.com/office/drawing/2014/main" id="{2618F863-6A98-3566-CFE5-A25170030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266700</xdr:colOff>
      <xdr:row>7</xdr:row>
      <xdr:rowOff>171450</xdr:rowOff>
    </xdr:from>
    <xdr:to>
      <xdr:col>19</xdr:col>
      <xdr:colOff>311150</xdr:colOff>
      <xdr:row>22</xdr:row>
      <xdr:rowOff>152400</xdr:rowOff>
    </xdr:to>
    <xdr:graphicFrame macro="">
      <xdr:nvGraphicFramePr>
        <xdr:cNvPr id="4" name="Chart 3">
          <a:extLst>
            <a:ext uri="{FF2B5EF4-FFF2-40B4-BE49-F238E27FC236}">
              <a16:creationId xmlns:a16="http://schemas.microsoft.com/office/drawing/2014/main" id="{B22E059E-409A-C710-A2FC-C3586DEB6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168274</xdr:colOff>
      <xdr:row>17</xdr:row>
      <xdr:rowOff>41274</xdr:rowOff>
    </xdr:from>
    <xdr:to>
      <xdr:col>27</xdr:col>
      <xdr:colOff>533399</xdr:colOff>
      <xdr:row>36</xdr:row>
      <xdr:rowOff>127000</xdr:rowOff>
    </xdr:to>
    <xdr:graphicFrame macro="">
      <xdr:nvGraphicFramePr>
        <xdr:cNvPr id="7" name="Chart 6">
          <a:extLst>
            <a:ext uri="{FF2B5EF4-FFF2-40B4-BE49-F238E27FC236}">
              <a16:creationId xmlns:a16="http://schemas.microsoft.com/office/drawing/2014/main" id="{728A9F38-7463-4053-E830-36EB41A11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3</xdr:row>
      <xdr:rowOff>158750</xdr:rowOff>
    </xdr:from>
    <xdr:to>
      <xdr:col>6</xdr:col>
      <xdr:colOff>180975</xdr:colOff>
      <xdr:row>18</xdr:row>
      <xdr:rowOff>139700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3522A52-F12D-D42B-BA73-547C8A7FA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 y="711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052.864381134263" createdVersion="8" refreshedVersion="8" minRefreshableVersion="3" recordCount="318" xr:uid="{BD5B6EC2-2582-44A9-B579-AA37E96B3D8C}">
  <cacheSource type="worksheet">
    <worksheetSource name="Marketing_dataset"/>
  </cacheSource>
  <cacheFields count="16">
    <cacheField name="CustomerID" numFmtId="0">
      <sharedItems containsSemiMixedTypes="0" containsString="0" containsNumber="1" containsInteger="1" minValue="8004" maxValue="11432"/>
    </cacheField>
    <cacheField name="CampaignChannel" numFmtId="0">
      <sharedItems count="5">
        <s v="PPC"/>
        <s v="Referral"/>
        <s v="Email"/>
        <s v="SEO"/>
        <s v="Social Media"/>
      </sharedItems>
    </cacheField>
    <cacheField name="CampaignType" numFmtId="0">
      <sharedItems count="4">
        <s v="Conversion"/>
        <s v="Awareness"/>
        <s v="Consideration"/>
        <s v="Retention"/>
      </sharedItems>
    </cacheField>
    <cacheField name="AdSpend" numFmtId="0">
      <sharedItems containsSemiMixedTypes="0" containsString="0" containsNumber="1" minValue="200.72" maxValue="9970.5300000000007"/>
    </cacheField>
    <cacheField name="ClickThroughRate" numFmtId="0">
      <sharedItems containsSemiMixedTypes="0" containsString="0" containsNumber="1" minValue="0.01" maxValue="0.3"/>
    </cacheField>
    <cacheField name="ConversionRate" numFmtId="0">
      <sharedItems containsSemiMixedTypes="0" containsString="0" containsNumber="1" minValue="0.01" maxValue="0.2"/>
    </cacheField>
    <cacheField name="WebsiteVisits" numFmtId="0">
      <sharedItems containsSemiMixedTypes="0" containsString="0" containsNumber="1" containsInteger="1" minValue="0" maxValue="49"/>
    </cacheField>
    <cacheField name="SocialShares" numFmtId="0">
      <sharedItems containsSemiMixedTypes="0" containsString="0" containsNumber="1" containsInteger="1" minValue="0" maxValue="99"/>
    </cacheField>
    <cacheField name="EmailOpens" numFmtId="0">
      <sharedItems containsSemiMixedTypes="0" containsString="0" containsNumber="1" containsInteger="1" minValue="0" maxValue="19"/>
    </cacheField>
    <cacheField name="EmailClicks" numFmtId="0">
      <sharedItems containsSemiMixedTypes="0" containsString="0" containsNumber="1" containsInteger="1" minValue="0" maxValue="9"/>
    </cacheField>
    <cacheField name="AdvertisingPlatform" numFmtId="0">
      <sharedItems/>
    </cacheField>
    <cacheField name="AdvertisingTool" numFmtId="0">
      <sharedItems/>
    </cacheField>
    <cacheField name="Conversion" numFmtId="0">
      <sharedItems containsSemiMixedTypes="0" containsString="0" containsNumber="1" containsInteger="1" minValue="0" maxValue="1"/>
    </cacheField>
    <cacheField name="ROI(* Return)" numFmtId="0" formula=" (#NAME?-AdSpend) /AdSpend" databaseField="0"/>
    <cacheField name="Blended CPA" numFmtId="0" formula="AdSpend/Conversion" databaseField="0"/>
    <cacheField name="ORIGINAL CPA" numFmtId="0" formula="AdSpend/Conversion" databaseField="0"/>
  </cacheFields>
  <extLst>
    <ext xmlns:x14="http://schemas.microsoft.com/office/spreadsheetml/2009/9/main" uri="{725AE2AE-9491-48be-B2B4-4EB974FC3084}">
      <x14:pivotCacheDefinition pivotCacheId="384348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053.587772569444" createdVersion="8" refreshedVersion="8" minRefreshableVersion="3" recordCount="318" xr:uid="{FAABEFE6-3B1E-45FE-BDD5-CA7AE555EBC7}">
  <cacheSource type="worksheet">
    <worksheetSource name="Customer_analytics"/>
  </cacheSource>
  <cacheFields count="15">
    <cacheField name="CustomerID" numFmtId="0">
      <sharedItems containsSemiMixedTypes="0" containsString="0" containsNumber="1" containsInteger="1" minValue="8004" maxValue="11432"/>
    </cacheField>
    <cacheField name="Age" numFmtId="0">
      <sharedItems containsSemiMixedTypes="0" containsString="0" containsNumber="1" containsInteger="1" minValue="18" maxValue="69" count="52">
        <n v="60"/>
        <n v="38"/>
        <n v="41"/>
        <n v="53"/>
        <n v="57"/>
        <n v="19"/>
        <n v="39"/>
        <n v="61"/>
        <n v="59"/>
        <n v="69"/>
        <n v="20"/>
        <n v="54"/>
        <n v="24"/>
        <n v="26"/>
        <n v="56"/>
        <n v="42"/>
        <n v="37"/>
        <n v="64"/>
        <n v="21"/>
        <n v="35"/>
        <n v="25"/>
        <n v="31"/>
        <n v="62"/>
        <n v="43"/>
        <n v="58"/>
        <n v="22"/>
        <n v="45"/>
        <n v="51"/>
        <n v="65"/>
        <n v="44"/>
        <n v="68"/>
        <n v="66"/>
        <n v="40"/>
        <n v="30"/>
        <n v="49"/>
        <n v="23"/>
        <n v="28"/>
        <n v="55"/>
        <n v="33"/>
        <n v="50"/>
        <n v="46"/>
        <n v="36"/>
        <n v="48"/>
        <n v="52"/>
        <n v="63"/>
        <n v="34"/>
        <n v="67"/>
        <n v="18"/>
        <n v="32"/>
        <n v="29"/>
        <n v="47"/>
        <n v="27"/>
      </sharedItems>
      <fieldGroup base="1">
        <rangePr startNum="18" endNum="69" groupInterval="4"/>
        <groupItems count="15">
          <s v="&lt;18"/>
          <s v="18-21"/>
          <s v="22-25"/>
          <s v="26-29"/>
          <s v="30-33"/>
          <s v="34-37"/>
          <s v="38-41"/>
          <s v="42-45"/>
          <s v="46-49"/>
          <s v="50-53"/>
          <s v="54-57"/>
          <s v="58-61"/>
          <s v="62-65"/>
          <s v="66-69"/>
          <s v="&gt;70"/>
        </groupItems>
      </fieldGroup>
    </cacheField>
    <cacheField name="Gender" numFmtId="0">
      <sharedItems count="2">
        <s v="Female"/>
        <s v="Male"/>
      </sharedItems>
    </cacheField>
    <cacheField name="Income" numFmtId="0">
      <sharedItems containsSemiMixedTypes="0" containsString="0" containsNumber="1" containsInteger="1" minValue="20169" maxValue="149080"/>
    </cacheField>
    <cacheField name="Income Group" numFmtId="0">
      <sharedItems count="3">
        <s v="Mid"/>
        <s v="Low"/>
        <s v="High"/>
      </sharedItems>
    </cacheField>
    <cacheField name="WebsiteVisits" numFmtId="0">
      <sharedItems containsSemiMixedTypes="0" containsString="0" containsNumber="1" containsInteger="1" minValue="0" maxValue="49" count="50">
        <n v="0"/>
        <n v="42"/>
        <n v="13"/>
        <n v="8"/>
        <n v="20"/>
        <n v="44"/>
        <n v="7"/>
        <n v="35"/>
        <n v="39"/>
        <n v="25"/>
        <n v="24"/>
        <n v="21"/>
        <n v="23"/>
        <n v="46"/>
        <n v="22"/>
        <n v="37"/>
        <n v="43"/>
        <n v="49"/>
        <n v="16"/>
        <n v="6"/>
        <n v="34"/>
        <n v="38"/>
        <n v="2"/>
        <n v="14"/>
        <n v="31"/>
        <n v="11"/>
        <n v="33"/>
        <n v="36"/>
        <n v="15"/>
        <n v="26"/>
        <n v="18"/>
        <n v="3"/>
        <n v="32"/>
        <n v="29"/>
        <n v="19"/>
        <n v="1"/>
        <n v="12"/>
        <n v="45"/>
        <n v="9"/>
        <n v="27"/>
        <n v="41"/>
        <n v="40"/>
        <n v="5"/>
        <n v="48"/>
        <n v="10"/>
        <n v="17"/>
        <n v="47"/>
        <n v="4"/>
        <n v="28"/>
        <n v="30"/>
      </sharedItems>
    </cacheField>
    <cacheField name="PagesPerVisit" numFmtId="0">
      <sharedItems containsSemiMixedTypes="0" containsString="0" containsNumber="1" minValue="1.07" maxValue="9.94" count="264">
        <n v="2.0499999999999998"/>
        <n v="1.75"/>
        <n v="8.89"/>
        <n v="8.5"/>
        <n v="7.36"/>
        <n v="6.95"/>
        <n v="3.12"/>
        <n v="9.82"/>
        <n v="2.52"/>
        <n v="3.95"/>
        <n v="3.17"/>
        <n v="1.7"/>
        <n v="1.07"/>
        <n v="8.7799999999999994"/>
        <n v="2.29"/>
        <n v="8.66"/>
        <n v="6.92"/>
        <n v="4.6100000000000003"/>
        <n v="3.28"/>
        <n v="2.33"/>
        <n v="5.41"/>
        <n v="3.81"/>
        <n v="6.24"/>
        <n v="6.49"/>
        <n v="6.34"/>
        <n v="7.77"/>
        <n v="6.91"/>
        <n v="5"/>
        <n v="6.64"/>
        <n v="4.0199999999999996"/>
        <n v="9.94"/>
        <n v="3.8"/>
        <n v="4.41"/>
        <n v="5.6"/>
        <n v="3.94"/>
        <n v="1.73"/>
        <n v="7.89"/>
        <n v="4.45"/>
        <n v="1.71"/>
        <n v="2.62"/>
        <n v="5.82"/>
        <n v="5.08"/>
        <n v="9.39"/>
        <n v="5.53"/>
        <n v="5.64"/>
        <n v="3.29"/>
        <n v="2.54"/>
        <n v="6.28"/>
        <n v="6.2"/>
        <n v="2.82"/>
        <n v="7.76"/>
        <n v="7.74"/>
        <n v="4.74"/>
        <n v="7.27"/>
        <n v="9.75"/>
        <n v="1.37"/>
        <n v="8.4700000000000006"/>
        <n v="7.65"/>
        <n v="8.1999999999999993"/>
        <n v="5.66"/>
        <n v="7.98"/>
        <n v="8.25"/>
        <n v="5.26"/>
        <n v="5.48"/>
        <n v="9.2899999999999991"/>
        <n v="9.91"/>
        <n v="6.05"/>
        <n v="3.44"/>
        <n v="3.86"/>
        <n v="4.1500000000000004"/>
        <n v="1.57"/>
        <n v="9.2200000000000006"/>
        <n v="5.8"/>
        <n v="6.5"/>
        <n v="8.2799999999999994"/>
        <n v="5.77"/>
        <n v="2.2799999999999998"/>
        <n v="5.9"/>
        <n v="4.9400000000000004"/>
        <n v="6.3"/>
        <n v="5.95"/>
        <n v="4.93"/>
        <n v="2.39"/>
        <n v="8.2200000000000006"/>
        <n v="5.94"/>
        <n v="6.9"/>
        <n v="2.2599999999999998"/>
        <n v="2.13"/>
        <n v="3.02"/>
        <n v="9.49"/>
        <n v="8.7200000000000006"/>
        <n v="9.0500000000000007"/>
        <n v="6.98"/>
        <n v="8.1300000000000008"/>
        <n v="6.59"/>
        <n v="7.72"/>
        <n v="4.8499999999999996"/>
        <n v="9.6199999999999992"/>
        <n v="9.9"/>
        <n v="3.87"/>
        <n v="1.1599999999999999"/>
        <n v="8.0500000000000007"/>
        <n v="4.46"/>
        <n v="4.2699999999999996"/>
        <n v="1.68"/>
        <n v="2"/>
        <n v="3.42"/>
        <n v="5.71"/>
        <n v="2.4700000000000002"/>
        <n v="9.16"/>
        <n v="7.31"/>
        <n v="6.17"/>
        <n v="8.85"/>
        <n v="7.48"/>
        <n v="4.6500000000000004"/>
        <n v="9.5"/>
        <n v="8.26"/>
        <n v="1.99"/>
        <n v="1.65"/>
        <n v="5.2"/>
        <n v="9.7200000000000006"/>
        <n v="3.97"/>
        <n v="5.98"/>
        <n v="2.38"/>
        <n v="4.92"/>
        <n v="2.5099999999999998"/>
        <n v="7.11"/>
        <n v="1.27"/>
        <n v="7.28"/>
        <n v="1.5"/>
        <n v="2.44"/>
        <n v="1.54"/>
        <n v="1.35"/>
        <n v="1.34"/>
        <n v="1.59"/>
        <n v="9.73"/>
        <n v="1.49"/>
        <n v="7.05"/>
        <n v="2.31"/>
        <n v="7.54"/>
        <n v="1.39"/>
        <n v="7.86"/>
        <n v="3.53"/>
        <n v="6.71"/>
        <n v="2.6"/>
        <n v="2.88"/>
        <n v="3"/>
        <n v="5.65"/>
        <n v="6.6"/>
        <n v="8.64"/>
        <n v="1.45"/>
        <n v="2.59"/>
        <n v="5.42"/>
        <n v="1.4"/>
        <n v="7.18"/>
        <n v="5.59"/>
        <n v="8.42"/>
        <n v="6.14"/>
        <n v="9.8800000000000008"/>
        <n v="9.48"/>
        <n v="6.09"/>
        <n v="6.46"/>
        <n v="7.83"/>
        <n v="8.5500000000000007"/>
        <n v="7.81"/>
        <n v="8.81"/>
        <n v="8.19"/>
        <n v="2.9"/>
        <n v="4.28"/>
        <n v="9.27"/>
        <n v="6.86"/>
        <n v="2.17"/>
        <n v="6.45"/>
        <n v="8.02"/>
        <n v="5.96"/>
        <n v="6.08"/>
        <n v="3.15"/>
        <n v="3.99"/>
        <n v="1.9"/>
        <n v="4.2300000000000004"/>
        <n v="7.97"/>
        <n v="8.41"/>
        <n v="6.83"/>
        <n v="8.2100000000000009"/>
        <n v="3.25"/>
        <n v="9.3800000000000008"/>
        <n v="5.54"/>
        <n v="1.66"/>
        <n v="4.8899999999999997"/>
        <n v="8.93"/>
        <n v="9.6999999999999993"/>
        <n v="2.02"/>
        <n v="1.41"/>
        <n v="4.3899999999999997"/>
        <n v="2.69"/>
        <n v="7.03"/>
        <n v="4.71"/>
        <n v="5.76"/>
        <n v="1.67"/>
        <n v="2.09"/>
        <n v="6.02"/>
        <n v="3.22"/>
        <n v="1.31"/>
        <n v="9.19"/>
        <n v="6.97"/>
        <n v="4.84"/>
        <n v="2.41"/>
        <n v="3.62"/>
        <n v="3.35"/>
        <n v="4.83"/>
        <n v="5.0199999999999996"/>
        <n v="9.43"/>
        <n v="7.7"/>
        <n v="7.95"/>
        <n v="7.46"/>
        <n v="5.73"/>
        <n v="9.68"/>
        <n v="3.39"/>
        <n v="3.09"/>
        <n v="4.63"/>
        <n v="1.19"/>
        <n v="2.95"/>
        <n v="5.16"/>
        <n v="1.56"/>
        <n v="8.5299999999999994"/>
        <n v="5.56"/>
        <n v="5.22"/>
        <n v="5.7"/>
        <n v="1.1000000000000001"/>
        <n v="6.27"/>
        <n v="8.27"/>
        <n v="3.91"/>
        <n v="3.47"/>
        <n v="6.31"/>
        <n v="5.68"/>
        <n v="3.5"/>
        <n v="3.03"/>
        <n v="9.7799999999999994"/>
        <n v="9.59"/>
        <n v="5.81"/>
        <n v="3.63"/>
        <n v="3.7"/>
        <n v="7.96"/>
        <n v="6.66"/>
        <n v="7.34"/>
        <n v="4.21"/>
        <n v="8.3699999999999992"/>
        <n v="8.3000000000000007"/>
        <n v="8.67"/>
        <n v="6.63"/>
        <n v="1.85"/>
        <n v="3.59"/>
        <n v="6.32"/>
        <n v="8.08"/>
        <n v="9.85"/>
        <n v="4.1900000000000004"/>
        <n v="9.61"/>
        <n v="6.01"/>
        <n v="6.19"/>
        <n v="1.96"/>
        <n v="2.48"/>
        <n v="7.93"/>
        <n v="3.65"/>
        <n v="4.22"/>
      </sharedItems>
    </cacheField>
    <cacheField name="TimeOnSite" numFmtId="0">
      <sharedItems containsSemiMixedTypes="0" containsString="0" containsNumber="1" minValue="0.53" maxValue="14.96" count="279">
        <n v="13.99"/>
        <n v="10.7"/>
        <n v="8.48"/>
        <n v="14.25"/>
        <n v="2.4700000000000002"/>
        <n v="2.25"/>
        <n v="8.44"/>
        <n v="1.9"/>
        <n v="9.33"/>
        <n v="10.67"/>
        <n v="3.14"/>
        <n v="1.17"/>
        <n v="11.25"/>
        <n v="2.34"/>
        <n v="8.5500000000000007"/>
        <n v="7.88"/>
        <n v="0.69"/>
        <n v="13.97"/>
        <n v="1.98"/>
        <n v="10.5"/>
        <n v="4.58"/>
        <n v="5.74"/>
        <n v="5.69"/>
        <n v="13.54"/>
        <n v="1"/>
        <n v="6.03"/>
        <n v="9.8699999999999992"/>
        <n v="12.41"/>
        <n v="8.42"/>
        <n v="5.8"/>
        <n v="1.3"/>
        <n v="10.16"/>
        <n v="13.83"/>
        <n v="1.08"/>
        <n v="8.41"/>
        <n v="12.39"/>
        <n v="13.98"/>
        <n v="11.28"/>
        <n v="6.9"/>
        <n v="6.2"/>
        <n v="3.68"/>
        <n v="2.46"/>
        <n v="3.67"/>
        <n v="12.59"/>
        <n v="7.24"/>
        <n v="13.77"/>
        <n v="3.37"/>
        <n v="12.72"/>
        <n v="6.79"/>
        <n v="10.86"/>
        <n v="9.6199999999999992"/>
        <n v="1.27"/>
        <n v="8.4"/>
        <n v="5.72"/>
        <n v="12.7"/>
        <n v="10.18"/>
        <n v="14.23"/>
        <n v="5.1100000000000003"/>
        <n v="14.3"/>
        <n v="3.7"/>
        <n v="4.3600000000000003"/>
        <n v="6.49"/>
        <n v="14.38"/>
        <n v="12.69"/>
        <n v="12.92"/>
        <n v="12.03"/>
        <n v="13.17"/>
        <n v="13.04"/>
        <n v="5.94"/>
        <n v="13.39"/>
        <n v="1.28"/>
        <n v="11.67"/>
        <n v="14.86"/>
        <n v="1.39"/>
        <n v="0.74"/>
        <n v="12.32"/>
        <n v="12.28"/>
        <n v="12.6"/>
        <n v="12.8"/>
        <n v="9.4600000000000009"/>
        <n v="6.32"/>
        <n v="14.64"/>
        <n v="13.38"/>
        <n v="13.92"/>
        <n v="1.03"/>
        <n v="1.0900000000000001"/>
        <n v="5.37"/>
        <n v="13.96"/>
        <n v="13.76"/>
        <n v="7.41"/>
        <n v="0.78"/>
        <n v="12.58"/>
        <n v="11.32"/>
        <n v="2.5099999999999998"/>
        <n v="14.96"/>
        <n v="1.35"/>
        <n v="7.22"/>
        <n v="5.77"/>
        <n v="6.98"/>
        <n v="8.5399999999999991"/>
        <n v="12.27"/>
        <n v="1.87"/>
        <n v="11.91"/>
        <n v="4.07"/>
        <n v="7.91"/>
        <n v="13.75"/>
        <n v="4.78"/>
        <n v="5.47"/>
        <n v="4.7"/>
        <n v="13.74"/>
        <n v="0.59"/>
        <n v="2.2400000000000002"/>
        <n v="14.79"/>
        <n v="3.34"/>
        <n v="7.69"/>
        <n v="14.8"/>
        <n v="12.04"/>
        <n v="14.42"/>
        <n v="6.16"/>
        <n v="5.05"/>
        <n v="5.17"/>
        <n v="6.95"/>
        <n v="10.55"/>
        <n v="5.76"/>
        <n v="0.87"/>
        <n v="2.44"/>
        <n v="10.41"/>
        <n v="6.13"/>
        <n v="10.46"/>
        <n v="10.07"/>
        <n v="8.49"/>
        <n v="11.23"/>
        <n v="4.26"/>
        <n v="9.08"/>
        <n v="8.31"/>
        <n v="11.76"/>
        <n v="8.15"/>
        <n v="2.93"/>
        <n v="14.69"/>
        <n v="11.59"/>
        <n v="13.03"/>
        <n v="13.49"/>
        <n v="4.74"/>
        <n v="7.36"/>
        <n v="8.33"/>
        <n v="13.19"/>
        <n v="4.62"/>
        <n v="12.34"/>
        <n v="4.34"/>
        <n v="4.24"/>
        <n v="9.5"/>
        <n v="10.06"/>
        <n v="5.0599999999999996"/>
        <n v="1.65"/>
        <n v="14.46"/>
        <n v="10.58"/>
        <n v="2.23"/>
        <n v="2.27"/>
        <n v="12.43"/>
        <n v="11.45"/>
        <n v="12.57"/>
        <n v="9.49"/>
        <n v="12.89"/>
        <n v="6.41"/>
        <n v="14.51"/>
        <n v="1.81"/>
        <n v="5.79"/>
        <n v="7.07"/>
        <n v="9.52"/>
        <n v="8.23"/>
        <n v="7.18"/>
        <n v="9.34"/>
        <n v="10.75"/>
        <n v="9.64"/>
        <n v="8.27"/>
        <n v="11.69"/>
        <n v="5.61"/>
        <n v="6.69"/>
        <n v="2.8"/>
        <n v="10.17"/>
        <n v="12.84"/>
        <n v="0.91"/>
        <n v="3.04"/>
        <n v="11.52"/>
        <n v="3.19"/>
        <n v="4.18"/>
        <n v="3.23"/>
        <n v="13.25"/>
        <n v="1.1399999999999999"/>
        <n v="14.03"/>
        <n v="9.94"/>
        <n v="14.32"/>
        <n v="13.7"/>
        <n v="6.35"/>
        <n v="5.14"/>
        <n v="14.91"/>
        <n v="11.12"/>
        <n v="7.64"/>
        <n v="4.57"/>
        <n v="13.37"/>
        <n v="12.55"/>
        <n v="5.83"/>
        <n v="7.67"/>
        <n v="9.01"/>
        <n v="8.3699999999999992"/>
        <n v="7.33"/>
        <n v="7.72"/>
        <n v="4.51"/>
        <n v="1.78"/>
        <n v="12.96"/>
        <n v="5.75"/>
        <n v="10.029999999999999"/>
        <n v="7.27"/>
        <n v="7.08"/>
        <n v="9.7200000000000006"/>
        <n v="5.81"/>
        <n v="2.2200000000000002"/>
        <n v="11.94"/>
        <n v="8.06"/>
        <n v="2.75"/>
        <n v="11.41"/>
        <n v="1.24"/>
        <n v="1.34"/>
        <n v="14.58"/>
        <n v="6.44"/>
        <n v="8.5299999999999994"/>
        <n v="0.53"/>
        <n v="11.98"/>
        <n v="9.6999999999999993"/>
        <n v="0.62"/>
        <n v="12.64"/>
        <n v="6.62"/>
        <n v="12.74"/>
        <n v="8.8000000000000007"/>
        <n v="14.84"/>
        <n v="11.71"/>
        <n v="10.51"/>
        <n v="11.86"/>
        <n v="9.14"/>
        <n v="10.49"/>
        <n v="1.49"/>
        <n v="7.2"/>
        <n v="14.87"/>
        <n v="13.34"/>
        <n v="6.71"/>
        <n v="6.87"/>
        <n v="9.39"/>
        <n v="5.6"/>
        <n v="11.87"/>
        <n v="2"/>
        <n v="8.18"/>
        <n v="10.9"/>
        <n v="7.3"/>
        <n v="10.85"/>
        <n v="11.99"/>
        <n v="13.23"/>
        <n v="1.99"/>
        <n v="5.98"/>
        <n v="2.4"/>
        <n v="2.59"/>
        <n v="3.87"/>
        <n v="5.88"/>
        <n v="1.1200000000000001"/>
        <n v="10.91"/>
        <n v="8.52"/>
        <n v="7.83"/>
        <n v="11.35"/>
        <n v="2.11"/>
        <n v="2.73"/>
        <n v="3.73"/>
        <n v="7.37"/>
        <n v="6.68"/>
        <n v="10.96"/>
        <n v="3.41"/>
        <n v="5.84"/>
        <n v="6.33"/>
        <n v="0.93"/>
        <n v="6.97"/>
        <n v="3.47"/>
      </sharedItems>
      <fieldGroup base="7">
        <rangePr autoStart="0" autoEnd="0" startNum="0" endNum="15" groupInterval="3"/>
        <groupItems count="7">
          <s v="&lt;0"/>
          <s v="0-3"/>
          <s v="3-6"/>
          <s v="6-9"/>
          <s v="9-12"/>
          <s v="12-15"/>
          <s v="&gt;15"/>
        </groupItems>
      </fieldGroup>
    </cacheField>
    <cacheField name="Time on Site Group" numFmtId="0">
      <sharedItems/>
    </cacheField>
    <cacheField name="SocialShares" numFmtId="0">
      <sharedItems containsSemiMixedTypes="0" containsString="0" containsNumber="1" containsInteger="1" minValue="0" maxValue="99"/>
    </cacheField>
    <cacheField name="EmailOpens" numFmtId="0">
      <sharedItems containsSemiMixedTypes="0" containsString="0" containsNumber="1" containsInteger="1" minValue="0" maxValue="19"/>
    </cacheField>
    <cacheField name="EmailClicks" numFmtId="0">
      <sharedItems containsSemiMixedTypes="0" containsString="0" containsNumber="1" containsInteger="1" minValue="0" maxValue="9"/>
    </cacheField>
    <cacheField name="PreviousPurchases" numFmtId="0">
      <sharedItems containsSemiMixedTypes="0" containsString="0" containsNumber="1" containsInteger="1" minValue="0" maxValue="9"/>
    </cacheField>
    <cacheField name="LoyaltyPoints" numFmtId="0">
      <sharedItems containsSemiMixedTypes="0" containsString="0" containsNumber="1" containsInteger="1" minValue="10" maxValue="4965"/>
    </cacheField>
    <cacheField name="Convers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09330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
  <r>
    <n v="8004"/>
    <x v="0"/>
    <x v="0"/>
    <n v="1678.04"/>
    <n v="0.25"/>
    <n v="0.11"/>
    <n v="0"/>
    <n v="6"/>
    <n v="6"/>
    <n v="6"/>
    <s v="IsConfid"/>
    <s v="ToolConfid"/>
    <n v="1"/>
  </r>
  <r>
    <n v="8006"/>
    <x v="1"/>
    <x v="1"/>
    <n v="7302.9"/>
    <n v="0.04"/>
    <n v="0.06"/>
    <n v="42"/>
    <n v="54"/>
    <n v="14"/>
    <n v="3"/>
    <s v="IsConfid"/>
    <s v="ToolConfid"/>
    <n v="1"/>
  </r>
  <r>
    <n v="8012"/>
    <x v="2"/>
    <x v="0"/>
    <n v="5930.92"/>
    <n v="0.22"/>
    <n v="0.02"/>
    <n v="13"/>
    <n v="28"/>
    <n v="16"/>
    <n v="5"/>
    <s v="IsConfid"/>
    <s v="ToolConfid"/>
    <n v="1"/>
  </r>
  <r>
    <n v="8013"/>
    <x v="3"/>
    <x v="1"/>
    <n v="1520.42"/>
    <n v="0.19"/>
    <n v="0.16"/>
    <n v="8"/>
    <n v="81"/>
    <n v="8"/>
    <n v="1"/>
    <s v="IsConfid"/>
    <s v="ToolConfid"/>
    <n v="1"/>
  </r>
  <r>
    <n v="8014"/>
    <x v="2"/>
    <x v="1"/>
    <n v="4104.38"/>
    <n v="0.12"/>
    <n v="0.11"/>
    <n v="20"/>
    <n v="70"/>
    <n v="16"/>
    <n v="8"/>
    <s v="IsConfid"/>
    <s v="ToolConfid"/>
    <n v="1"/>
  </r>
  <r>
    <n v="8015"/>
    <x v="2"/>
    <x v="1"/>
    <n v="429.08"/>
    <n v="7.0000000000000007E-2"/>
    <n v="0.1"/>
    <n v="44"/>
    <n v="33"/>
    <n v="0"/>
    <n v="1"/>
    <s v="IsConfid"/>
    <s v="ToolConfid"/>
    <n v="0"/>
  </r>
  <r>
    <n v="8018"/>
    <x v="0"/>
    <x v="0"/>
    <n v="3939.01"/>
    <n v="0.15"/>
    <n v="0.03"/>
    <n v="7"/>
    <n v="92"/>
    <n v="8"/>
    <n v="4"/>
    <s v="IsConfid"/>
    <s v="ToolConfid"/>
    <n v="1"/>
  </r>
  <r>
    <n v="8019"/>
    <x v="0"/>
    <x v="2"/>
    <n v="8446.0499999999993"/>
    <n v="0.3"/>
    <n v="0.05"/>
    <n v="35"/>
    <n v="36"/>
    <n v="7"/>
    <n v="7"/>
    <s v="IsConfid"/>
    <s v="ToolConfid"/>
    <n v="1"/>
  </r>
  <r>
    <n v="8027"/>
    <x v="4"/>
    <x v="3"/>
    <n v="6920.24"/>
    <n v="0.01"/>
    <n v="0.11"/>
    <n v="39"/>
    <n v="98"/>
    <n v="17"/>
    <n v="6"/>
    <s v="IsConfid"/>
    <s v="ToolConfid"/>
    <n v="1"/>
  </r>
  <r>
    <n v="8028"/>
    <x v="1"/>
    <x v="3"/>
    <n v="6250.27"/>
    <n v="0.15"/>
    <n v="0.08"/>
    <n v="25"/>
    <n v="92"/>
    <n v="17"/>
    <n v="1"/>
    <s v="IsConfid"/>
    <s v="ToolConfid"/>
    <n v="1"/>
  </r>
  <r>
    <n v="8032"/>
    <x v="1"/>
    <x v="1"/>
    <n v="8740.4500000000007"/>
    <n v="0.28000000000000003"/>
    <n v="0.02"/>
    <n v="24"/>
    <n v="24"/>
    <n v="10"/>
    <n v="5"/>
    <s v="IsConfid"/>
    <s v="ToolConfid"/>
    <n v="1"/>
  </r>
  <r>
    <n v="8039"/>
    <x v="1"/>
    <x v="0"/>
    <n v="3360.96"/>
    <n v="0.13"/>
    <n v="0.16"/>
    <n v="20"/>
    <n v="1"/>
    <n v="13"/>
    <n v="0"/>
    <s v="IsConfid"/>
    <s v="ToolConfid"/>
    <n v="1"/>
  </r>
  <r>
    <n v="8040"/>
    <x v="2"/>
    <x v="0"/>
    <n v="4101.22"/>
    <n v="0.28000000000000003"/>
    <n v="0.1"/>
    <n v="24"/>
    <n v="13"/>
    <n v="4"/>
    <n v="7"/>
    <s v="IsConfid"/>
    <s v="ToolConfid"/>
    <n v="1"/>
  </r>
  <r>
    <n v="8041"/>
    <x v="4"/>
    <x v="0"/>
    <n v="9087.27"/>
    <n v="0.02"/>
    <n v="0.1"/>
    <n v="39"/>
    <n v="49"/>
    <n v="14"/>
    <n v="3"/>
    <s v="IsConfid"/>
    <s v="ToolConfid"/>
    <n v="1"/>
  </r>
  <r>
    <n v="8043"/>
    <x v="3"/>
    <x v="3"/>
    <n v="5705.13"/>
    <n v="0.05"/>
    <n v="0.19"/>
    <n v="21"/>
    <n v="33"/>
    <n v="5"/>
    <n v="9"/>
    <s v="IsConfid"/>
    <s v="ToolConfid"/>
    <n v="0"/>
  </r>
  <r>
    <n v="8045"/>
    <x v="4"/>
    <x v="1"/>
    <n v="5036.7299999999996"/>
    <n v="0.15"/>
    <n v="0.09"/>
    <n v="7"/>
    <n v="91"/>
    <n v="15"/>
    <n v="3"/>
    <s v="IsConfid"/>
    <s v="ToolConfid"/>
    <n v="1"/>
  </r>
  <r>
    <n v="8046"/>
    <x v="2"/>
    <x v="3"/>
    <n v="9190.27"/>
    <n v="0.12"/>
    <n v="0.16"/>
    <n v="23"/>
    <n v="38"/>
    <n v="18"/>
    <n v="7"/>
    <s v="IsConfid"/>
    <s v="ToolConfid"/>
    <n v="1"/>
  </r>
  <r>
    <n v="8049"/>
    <x v="3"/>
    <x v="3"/>
    <n v="408.69"/>
    <n v="0.2"/>
    <n v="0.11"/>
    <n v="46"/>
    <n v="96"/>
    <n v="17"/>
    <n v="4"/>
    <s v="IsConfid"/>
    <s v="ToolConfid"/>
    <n v="1"/>
  </r>
  <r>
    <n v="8055"/>
    <x v="2"/>
    <x v="2"/>
    <n v="7856.01"/>
    <n v="0.09"/>
    <n v="7.0000000000000007E-2"/>
    <n v="22"/>
    <n v="87"/>
    <n v="3"/>
    <n v="8"/>
    <s v="IsConfid"/>
    <s v="ToolConfid"/>
    <n v="1"/>
  </r>
  <r>
    <n v="8057"/>
    <x v="0"/>
    <x v="1"/>
    <n v="7830.39"/>
    <n v="0.04"/>
    <n v="0.12"/>
    <n v="37"/>
    <n v="68"/>
    <n v="5"/>
    <n v="3"/>
    <s v="IsConfid"/>
    <s v="ToolConfid"/>
    <n v="1"/>
  </r>
  <r>
    <n v="8071"/>
    <x v="0"/>
    <x v="0"/>
    <n v="3042.86"/>
    <n v="0.3"/>
    <n v="0.14000000000000001"/>
    <n v="43"/>
    <n v="46"/>
    <n v="4"/>
    <n v="5"/>
    <s v="IsConfid"/>
    <s v="ToolConfid"/>
    <n v="1"/>
  </r>
  <r>
    <n v="8072"/>
    <x v="2"/>
    <x v="2"/>
    <n v="6536.09"/>
    <n v="0.13"/>
    <n v="0.17"/>
    <n v="44"/>
    <n v="8"/>
    <n v="5"/>
    <n v="5"/>
    <s v="IsConfid"/>
    <s v="ToolConfid"/>
    <n v="1"/>
  </r>
  <r>
    <n v="8074"/>
    <x v="0"/>
    <x v="1"/>
    <n v="6808.22"/>
    <n v="0.06"/>
    <n v="0.09"/>
    <n v="49"/>
    <n v="0"/>
    <n v="8"/>
    <n v="1"/>
    <s v="IsConfid"/>
    <s v="ToolConfid"/>
    <n v="1"/>
  </r>
  <r>
    <n v="8084"/>
    <x v="4"/>
    <x v="2"/>
    <n v="6979.08"/>
    <n v="7.0000000000000007E-2"/>
    <n v="0.1"/>
    <n v="16"/>
    <n v="59"/>
    <n v="10"/>
    <n v="6"/>
    <s v="IsConfid"/>
    <s v="ToolConfid"/>
    <n v="1"/>
  </r>
  <r>
    <n v="8085"/>
    <x v="3"/>
    <x v="1"/>
    <n v="6053.54"/>
    <n v="0.22"/>
    <n v="0.06"/>
    <n v="25"/>
    <n v="87"/>
    <n v="5"/>
    <n v="1"/>
    <s v="IsConfid"/>
    <s v="ToolConfid"/>
    <n v="1"/>
  </r>
  <r>
    <n v="8087"/>
    <x v="2"/>
    <x v="1"/>
    <n v="9033.8799999999992"/>
    <n v="0.16"/>
    <n v="0.02"/>
    <n v="43"/>
    <n v="38"/>
    <n v="6"/>
    <n v="9"/>
    <s v="IsConfid"/>
    <s v="ToolConfid"/>
    <n v="1"/>
  </r>
  <r>
    <n v="8088"/>
    <x v="2"/>
    <x v="1"/>
    <n v="3027.52"/>
    <n v="0.09"/>
    <n v="0.19"/>
    <n v="6"/>
    <n v="2"/>
    <n v="15"/>
    <n v="6"/>
    <s v="IsConfid"/>
    <s v="ToolConfid"/>
    <n v="1"/>
  </r>
  <r>
    <n v="8090"/>
    <x v="1"/>
    <x v="2"/>
    <n v="2047.73"/>
    <n v="0.21"/>
    <n v="0.08"/>
    <n v="34"/>
    <n v="67"/>
    <n v="12"/>
    <n v="5"/>
    <s v="IsConfid"/>
    <s v="ToolConfid"/>
    <n v="1"/>
  </r>
  <r>
    <n v="8092"/>
    <x v="0"/>
    <x v="0"/>
    <n v="3258.04"/>
    <n v="0.22"/>
    <n v="0.15"/>
    <n v="46"/>
    <n v="66"/>
    <n v="0"/>
    <n v="7"/>
    <s v="IsConfid"/>
    <s v="ToolConfid"/>
    <n v="1"/>
  </r>
  <r>
    <n v="8094"/>
    <x v="1"/>
    <x v="3"/>
    <n v="6550.14"/>
    <n v="0.19"/>
    <n v="0.2"/>
    <n v="43"/>
    <n v="57"/>
    <n v="15"/>
    <n v="9"/>
    <s v="IsConfid"/>
    <s v="ToolConfid"/>
    <n v="1"/>
  </r>
  <r>
    <n v="8096"/>
    <x v="1"/>
    <x v="1"/>
    <n v="7909.34"/>
    <n v="0.06"/>
    <n v="0.16"/>
    <n v="0"/>
    <n v="52"/>
    <n v="11"/>
    <n v="0"/>
    <s v="IsConfid"/>
    <s v="ToolConfid"/>
    <n v="1"/>
  </r>
  <r>
    <n v="8097"/>
    <x v="3"/>
    <x v="3"/>
    <n v="5091.78"/>
    <n v="0.19"/>
    <n v="0.03"/>
    <n v="24"/>
    <n v="13"/>
    <n v="8"/>
    <n v="7"/>
    <s v="IsConfid"/>
    <s v="ToolConfid"/>
    <n v="1"/>
  </r>
  <r>
    <n v="8102"/>
    <x v="2"/>
    <x v="2"/>
    <n v="1031.98"/>
    <n v="0.15"/>
    <n v="0.1"/>
    <n v="38"/>
    <n v="62"/>
    <n v="9"/>
    <n v="1"/>
    <s v="IsConfid"/>
    <s v="ToolConfid"/>
    <n v="1"/>
  </r>
  <r>
    <n v="8103"/>
    <x v="4"/>
    <x v="1"/>
    <n v="3097.02"/>
    <n v="0.28999999999999998"/>
    <n v="0.19"/>
    <n v="2"/>
    <n v="60"/>
    <n v="2"/>
    <n v="4"/>
    <s v="IsConfid"/>
    <s v="ToolConfid"/>
    <n v="1"/>
  </r>
  <r>
    <n v="8105"/>
    <x v="4"/>
    <x v="2"/>
    <n v="6610.06"/>
    <n v="0.26"/>
    <n v="0.09"/>
    <n v="44"/>
    <n v="36"/>
    <n v="11"/>
    <n v="6"/>
    <s v="IsConfid"/>
    <s v="ToolConfid"/>
    <n v="1"/>
  </r>
  <r>
    <n v="8107"/>
    <x v="0"/>
    <x v="3"/>
    <n v="1206.6600000000001"/>
    <n v="0.16"/>
    <n v="0.19"/>
    <n v="38"/>
    <n v="88"/>
    <n v="13"/>
    <n v="4"/>
    <s v="IsConfid"/>
    <s v="ToolConfid"/>
    <n v="1"/>
  </r>
  <r>
    <n v="8117"/>
    <x v="1"/>
    <x v="1"/>
    <n v="4201.3900000000003"/>
    <n v="0.09"/>
    <n v="0.19"/>
    <n v="14"/>
    <n v="57"/>
    <n v="6"/>
    <n v="9"/>
    <s v="IsConfid"/>
    <s v="ToolConfid"/>
    <n v="1"/>
  </r>
  <r>
    <n v="8118"/>
    <x v="3"/>
    <x v="0"/>
    <n v="2013.37"/>
    <n v="0.28000000000000003"/>
    <n v="0.04"/>
    <n v="31"/>
    <n v="39"/>
    <n v="10"/>
    <n v="0"/>
    <s v="IsConfid"/>
    <s v="ToolConfid"/>
    <n v="1"/>
  </r>
  <r>
    <n v="8121"/>
    <x v="2"/>
    <x v="0"/>
    <n v="1200.55"/>
    <n v="0.05"/>
    <n v="0.11"/>
    <n v="11"/>
    <n v="90"/>
    <n v="14"/>
    <n v="6"/>
    <s v="IsConfid"/>
    <s v="ToolConfid"/>
    <n v="1"/>
  </r>
  <r>
    <n v="8122"/>
    <x v="4"/>
    <x v="2"/>
    <n v="505.86"/>
    <n v="0.09"/>
    <n v="0.15"/>
    <n v="24"/>
    <n v="14"/>
    <n v="1"/>
    <n v="6"/>
    <s v="IsConfid"/>
    <s v="ToolConfid"/>
    <n v="1"/>
  </r>
  <r>
    <n v="8123"/>
    <x v="4"/>
    <x v="0"/>
    <n v="3407.38"/>
    <n v="0.18"/>
    <n v="0.17"/>
    <n v="33"/>
    <n v="84"/>
    <n v="11"/>
    <n v="7"/>
    <s v="IsConfid"/>
    <s v="ToolConfid"/>
    <n v="1"/>
  </r>
  <r>
    <n v="8126"/>
    <x v="2"/>
    <x v="0"/>
    <n v="5506.02"/>
    <n v="0.26"/>
    <n v="0.16"/>
    <n v="44"/>
    <n v="4"/>
    <n v="9"/>
    <n v="9"/>
    <s v="IsConfid"/>
    <s v="ToolConfid"/>
    <n v="1"/>
  </r>
  <r>
    <n v="8128"/>
    <x v="3"/>
    <x v="1"/>
    <n v="8018.6"/>
    <n v="7.0000000000000007E-2"/>
    <n v="0.06"/>
    <n v="24"/>
    <n v="69"/>
    <n v="7"/>
    <n v="8"/>
    <s v="IsConfid"/>
    <s v="ToolConfid"/>
    <n v="1"/>
  </r>
  <r>
    <n v="8130"/>
    <x v="1"/>
    <x v="0"/>
    <n v="6150.43"/>
    <n v="0.05"/>
    <n v="0.2"/>
    <n v="13"/>
    <n v="27"/>
    <n v="19"/>
    <n v="6"/>
    <s v="IsConfid"/>
    <s v="ToolConfid"/>
    <n v="1"/>
  </r>
  <r>
    <n v="8131"/>
    <x v="4"/>
    <x v="0"/>
    <n v="5210.55"/>
    <n v="0.27"/>
    <n v="0.08"/>
    <n v="35"/>
    <n v="53"/>
    <n v="4"/>
    <n v="6"/>
    <s v="IsConfid"/>
    <s v="ToolConfid"/>
    <n v="1"/>
  </r>
  <r>
    <n v="8142"/>
    <x v="0"/>
    <x v="3"/>
    <n v="1508.76"/>
    <n v="0.03"/>
    <n v="0.03"/>
    <n v="38"/>
    <n v="12"/>
    <n v="19"/>
    <n v="0"/>
    <s v="IsConfid"/>
    <s v="ToolConfid"/>
    <n v="0"/>
  </r>
  <r>
    <n v="8147"/>
    <x v="3"/>
    <x v="0"/>
    <n v="5141.04"/>
    <n v="0.25"/>
    <n v="0.02"/>
    <n v="36"/>
    <n v="58"/>
    <n v="7"/>
    <n v="7"/>
    <s v="IsConfid"/>
    <s v="ToolConfid"/>
    <n v="1"/>
  </r>
  <r>
    <n v="8149"/>
    <x v="4"/>
    <x v="2"/>
    <n v="5423.01"/>
    <n v="0.04"/>
    <n v="0.18"/>
    <n v="35"/>
    <n v="71"/>
    <n v="14"/>
    <n v="6"/>
    <s v="IsConfid"/>
    <s v="ToolConfid"/>
    <n v="1"/>
  </r>
  <r>
    <n v="8156"/>
    <x v="4"/>
    <x v="1"/>
    <n v="4506.25"/>
    <n v="0.25"/>
    <n v="0.11"/>
    <n v="7"/>
    <n v="57"/>
    <n v="18"/>
    <n v="4"/>
    <s v="IsConfid"/>
    <s v="ToolConfid"/>
    <n v="1"/>
  </r>
  <r>
    <n v="8159"/>
    <x v="1"/>
    <x v="1"/>
    <n v="1050.92"/>
    <n v="0.15"/>
    <n v="0.09"/>
    <n v="15"/>
    <n v="92"/>
    <n v="11"/>
    <n v="1"/>
    <s v="IsConfid"/>
    <s v="ToolConfid"/>
    <n v="1"/>
  </r>
  <r>
    <n v="8165"/>
    <x v="3"/>
    <x v="1"/>
    <n v="1430.62"/>
    <n v="0.17"/>
    <n v="0.06"/>
    <n v="33"/>
    <n v="19"/>
    <n v="8"/>
    <n v="5"/>
    <s v="IsConfid"/>
    <s v="ToolConfid"/>
    <n v="1"/>
  </r>
  <r>
    <n v="8167"/>
    <x v="3"/>
    <x v="1"/>
    <n v="5970.85"/>
    <n v="0.23"/>
    <n v="0.16"/>
    <n v="39"/>
    <n v="25"/>
    <n v="11"/>
    <n v="8"/>
    <s v="IsConfid"/>
    <s v="ToolConfid"/>
    <n v="1"/>
  </r>
  <r>
    <n v="8171"/>
    <x v="1"/>
    <x v="0"/>
    <n v="2205.5"/>
    <n v="0.27"/>
    <n v="0.16"/>
    <n v="26"/>
    <n v="81"/>
    <n v="4"/>
    <n v="6"/>
    <s v="IsConfid"/>
    <s v="ToolConfid"/>
    <n v="1"/>
  </r>
  <r>
    <n v="8172"/>
    <x v="2"/>
    <x v="2"/>
    <n v="6079.48"/>
    <n v="0.12"/>
    <n v="0.12"/>
    <n v="18"/>
    <n v="58"/>
    <n v="11"/>
    <n v="2"/>
    <s v="IsConfid"/>
    <s v="ToolConfid"/>
    <n v="1"/>
  </r>
  <r>
    <n v="8173"/>
    <x v="1"/>
    <x v="1"/>
    <n v="9550.16"/>
    <n v="0.24"/>
    <n v="0.05"/>
    <n v="25"/>
    <n v="2"/>
    <n v="11"/>
    <n v="0"/>
    <s v="IsConfid"/>
    <s v="ToolConfid"/>
    <n v="1"/>
  </r>
  <r>
    <n v="8181"/>
    <x v="3"/>
    <x v="1"/>
    <n v="7210.62"/>
    <n v="0.09"/>
    <n v="7.0000000000000007E-2"/>
    <n v="26"/>
    <n v="29"/>
    <n v="14"/>
    <n v="1"/>
    <s v="IsConfid"/>
    <s v="ToolConfid"/>
    <n v="1"/>
  </r>
  <r>
    <n v="8190"/>
    <x v="3"/>
    <x v="3"/>
    <n v="7128.01"/>
    <n v="0.1"/>
    <n v="0.09"/>
    <n v="3"/>
    <n v="56"/>
    <n v="7"/>
    <n v="7"/>
    <s v="IsConfid"/>
    <s v="ToolConfid"/>
    <n v="1"/>
  </r>
  <r>
    <n v="8194"/>
    <x v="3"/>
    <x v="2"/>
    <n v="294.08"/>
    <n v="0.18"/>
    <n v="0.15"/>
    <n v="20"/>
    <n v="16"/>
    <n v="10"/>
    <n v="3"/>
    <s v="IsConfid"/>
    <s v="ToolConfid"/>
    <n v="1"/>
  </r>
  <r>
    <n v="8195"/>
    <x v="1"/>
    <x v="2"/>
    <n v="7190"/>
    <n v="0.08"/>
    <n v="0.03"/>
    <n v="42"/>
    <n v="52"/>
    <n v="7"/>
    <n v="5"/>
    <s v="IsConfid"/>
    <s v="ToolConfid"/>
    <n v="1"/>
  </r>
  <r>
    <n v="8196"/>
    <x v="3"/>
    <x v="3"/>
    <n v="1110.4000000000001"/>
    <n v="0.24"/>
    <n v="0.17"/>
    <n v="38"/>
    <n v="39"/>
    <n v="5"/>
    <n v="0"/>
    <s v="IsConfid"/>
    <s v="ToolConfid"/>
    <n v="0"/>
  </r>
  <r>
    <n v="8201"/>
    <x v="0"/>
    <x v="2"/>
    <n v="460.07"/>
    <n v="0.08"/>
    <n v="0.06"/>
    <n v="43"/>
    <n v="71"/>
    <n v="7"/>
    <n v="1"/>
    <s v="IsConfid"/>
    <s v="ToolConfid"/>
    <n v="1"/>
  </r>
  <r>
    <n v="8203"/>
    <x v="3"/>
    <x v="0"/>
    <n v="6202.76"/>
    <n v="0.24"/>
    <n v="0.08"/>
    <n v="32"/>
    <n v="29"/>
    <n v="9"/>
    <n v="2"/>
    <s v="IsConfid"/>
    <s v="ToolConfid"/>
    <n v="1"/>
  </r>
  <r>
    <n v="8208"/>
    <x v="3"/>
    <x v="1"/>
    <n v="6260.92"/>
    <n v="0.28000000000000003"/>
    <n v="0.01"/>
    <n v="13"/>
    <n v="56"/>
    <n v="3"/>
    <n v="5"/>
    <s v="IsConfid"/>
    <s v="ToolConfid"/>
    <n v="1"/>
  </r>
  <r>
    <n v="8209"/>
    <x v="3"/>
    <x v="0"/>
    <n v="4259.0200000000004"/>
    <n v="0.2"/>
    <n v="0.19"/>
    <n v="43"/>
    <n v="69"/>
    <n v="15"/>
    <n v="0"/>
    <s v="IsConfid"/>
    <s v="ToolConfid"/>
    <n v="1"/>
  </r>
  <r>
    <n v="8211"/>
    <x v="3"/>
    <x v="1"/>
    <n v="5282.04"/>
    <n v="0.24"/>
    <n v="0.19"/>
    <n v="29"/>
    <n v="76"/>
    <n v="8"/>
    <n v="4"/>
    <s v="IsConfid"/>
    <s v="ToolConfid"/>
    <n v="1"/>
  </r>
  <r>
    <n v="8213"/>
    <x v="2"/>
    <x v="0"/>
    <n v="2308.23"/>
    <n v="0.03"/>
    <n v="0.05"/>
    <n v="19"/>
    <n v="24"/>
    <n v="11"/>
    <n v="7"/>
    <s v="IsConfid"/>
    <s v="ToolConfid"/>
    <n v="1"/>
  </r>
  <r>
    <n v="8215"/>
    <x v="1"/>
    <x v="1"/>
    <n v="7007.48"/>
    <n v="0.05"/>
    <n v="0.13"/>
    <n v="42"/>
    <n v="72"/>
    <n v="3"/>
    <n v="7"/>
    <s v="IsConfid"/>
    <s v="ToolConfid"/>
    <n v="1"/>
  </r>
  <r>
    <n v="8221"/>
    <x v="3"/>
    <x v="2"/>
    <n v="8860.42"/>
    <n v="0.19"/>
    <n v="0.19"/>
    <n v="1"/>
    <n v="89"/>
    <n v="7"/>
    <n v="2"/>
    <s v="IsConfid"/>
    <s v="ToolConfid"/>
    <n v="1"/>
  </r>
  <r>
    <n v="8222"/>
    <x v="4"/>
    <x v="0"/>
    <n v="7909.46"/>
    <n v="7.0000000000000007E-2"/>
    <n v="0.06"/>
    <n v="21"/>
    <n v="35"/>
    <n v="4"/>
    <n v="6"/>
    <s v="IsConfid"/>
    <s v="ToolConfid"/>
    <n v="1"/>
  </r>
  <r>
    <n v="8223"/>
    <x v="2"/>
    <x v="2"/>
    <n v="2035.03"/>
    <n v="0.09"/>
    <n v="0.08"/>
    <n v="12"/>
    <n v="35"/>
    <n v="7"/>
    <n v="2"/>
    <s v="IsConfid"/>
    <s v="ToolConfid"/>
    <n v="1"/>
  </r>
  <r>
    <n v="8224"/>
    <x v="4"/>
    <x v="3"/>
    <n v="9339.0400000000009"/>
    <n v="0.26"/>
    <n v="0.02"/>
    <n v="45"/>
    <n v="74"/>
    <n v="16"/>
    <n v="2"/>
    <s v="IsConfid"/>
    <s v="ToolConfid"/>
    <n v="1"/>
  </r>
  <r>
    <n v="8227"/>
    <x v="0"/>
    <x v="3"/>
    <n v="8207.8700000000008"/>
    <n v="0.23"/>
    <n v="0.03"/>
    <n v="0"/>
    <n v="93"/>
    <n v="19"/>
    <n v="0"/>
    <s v="IsConfid"/>
    <s v="ToolConfid"/>
    <n v="1"/>
  </r>
  <r>
    <n v="8228"/>
    <x v="0"/>
    <x v="0"/>
    <n v="7435.05"/>
    <n v="0.14000000000000001"/>
    <n v="0.01"/>
    <n v="46"/>
    <n v="88"/>
    <n v="10"/>
    <n v="3"/>
    <s v="IsConfid"/>
    <s v="ToolConfid"/>
    <n v="1"/>
  </r>
  <r>
    <n v="8229"/>
    <x v="3"/>
    <x v="1"/>
    <n v="9184.07"/>
    <n v="0.22"/>
    <n v="0.12"/>
    <n v="42"/>
    <n v="15"/>
    <n v="12"/>
    <n v="3"/>
    <s v="IsConfid"/>
    <s v="ToolConfid"/>
    <n v="1"/>
  </r>
  <r>
    <n v="8232"/>
    <x v="4"/>
    <x v="2"/>
    <n v="1907.85"/>
    <n v="0.12"/>
    <n v="0.17"/>
    <n v="3"/>
    <n v="46"/>
    <n v="2"/>
    <n v="4"/>
    <s v="IsConfid"/>
    <s v="ToolConfid"/>
    <n v="1"/>
  </r>
  <r>
    <n v="8244"/>
    <x v="0"/>
    <x v="3"/>
    <n v="7029.2"/>
    <n v="0.28999999999999998"/>
    <n v="0.03"/>
    <n v="12"/>
    <n v="76"/>
    <n v="8"/>
    <n v="8"/>
    <s v="IsConfid"/>
    <s v="ToolConfid"/>
    <n v="1"/>
  </r>
  <r>
    <n v="8246"/>
    <x v="2"/>
    <x v="2"/>
    <n v="1025.78"/>
    <n v="0.1"/>
    <n v="0.18"/>
    <n v="49"/>
    <n v="80"/>
    <n v="18"/>
    <n v="8"/>
    <s v="IsConfid"/>
    <s v="ToolConfid"/>
    <n v="1"/>
  </r>
  <r>
    <n v="8251"/>
    <x v="4"/>
    <x v="0"/>
    <n v="7180.96"/>
    <n v="0.09"/>
    <n v="0.05"/>
    <n v="12"/>
    <n v="68"/>
    <n v="15"/>
    <n v="0"/>
    <s v="IsConfid"/>
    <s v="ToolConfid"/>
    <n v="1"/>
  </r>
  <r>
    <n v="8254"/>
    <x v="0"/>
    <x v="0"/>
    <n v="7503.79"/>
    <n v="0.04"/>
    <n v="0.01"/>
    <n v="9"/>
    <n v="96"/>
    <n v="17"/>
    <n v="4"/>
    <s v="IsConfid"/>
    <s v="ToolConfid"/>
    <n v="1"/>
  </r>
  <r>
    <n v="8255"/>
    <x v="0"/>
    <x v="1"/>
    <n v="3087.65"/>
    <n v="0.28000000000000003"/>
    <n v="0.09"/>
    <n v="46"/>
    <n v="33"/>
    <n v="18"/>
    <n v="3"/>
    <s v="IsConfid"/>
    <s v="ToolConfid"/>
    <n v="1"/>
  </r>
  <r>
    <n v="8256"/>
    <x v="3"/>
    <x v="3"/>
    <n v="2209.16"/>
    <n v="0.26"/>
    <n v="0.03"/>
    <n v="11"/>
    <n v="26"/>
    <n v="15"/>
    <n v="8"/>
    <s v="IsConfid"/>
    <s v="ToolConfid"/>
    <n v="1"/>
  </r>
  <r>
    <n v="8260"/>
    <x v="2"/>
    <x v="3"/>
    <n v="2901.62"/>
    <n v="0.01"/>
    <n v="0.1"/>
    <n v="18"/>
    <n v="34"/>
    <n v="18"/>
    <n v="6"/>
    <s v="IsConfid"/>
    <s v="ToolConfid"/>
    <n v="1"/>
  </r>
  <r>
    <n v="8261"/>
    <x v="0"/>
    <x v="0"/>
    <n v="6557.01"/>
    <n v="0.18"/>
    <n v="0.12"/>
    <n v="18"/>
    <n v="19"/>
    <n v="18"/>
    <n v="1"/>
    <s v="IsConfid"/>
    <s v="ToolConfid"/>
    <n v="1"/>
  </r>
  <r>
    <n v="8267"/>
    <x v="3"/>
    <x v="1"/>
    <n v="4238.08"/>
    <n v="0.01"/>
    <n v="0.18"/>
    <n v="35"/>
    <n v="50"/>
    <n v="12"/>
    <n v="4"/>
    <s v="IsConfid"/>
    <s v="ToolConfid"/>
    <n v="1"/>
  </r>
  <r>
    <n v="8271"/>
    <x v="0"/>
    <x v="1"/>
    <n v="1509.49"/>
    <n v="0.15"/>
    <n v="0.16"/>
    <n v="22"/>
    <n v="44"/>
    <n v="9"/>
    <n v="9"/>
    <s v="IsConfid"/>
    <s v="ToolConfid"/>
    <n v="1"/>
  </r>
  <r>
    <n v="8284"/>
    <x v="1"/>
    <x v="0"/>
    <n v="3021.2"/>
    <n v="0.19"/>
    <n v="0.06"/>
    <n v="6"/>
    <n v="11"/>
    <n v="4"/>
    <n v="9"/>
    <s v="IsConfid"/>
    <s v="ToolConfid"/>
    <n v="1"/>
  </r>
  <r>
    <n v="8290"/>
    <x v="3"/>
    <x v="3"/>
    <n v="7426.07"/>
    <n v="0.1"/>
    <n v="0.1"/>
    <n v="31"/>
    <n v="10"/>
    <n v="11"/>
    <n v="9"/>
    <s v="IsConfid"/>
    <s v="ToolConfid"/>
    <n v="1"/>
  </r>
  <r>
    <n v="8291"/>
    <x v="3"/>
    <x v="1"/>
    <n v="5186.08"/>
    <n v="0.13"/>
    <n v="0.05"/>
    <n v="14"/>
    <n v="37"/>
    <n v="14"/>
    <n v="4"/>
    <s v="IsConfid"/>
    <s v="ToolConfid"/>
    <n v="1"/>
  </r>
  <r>
    <n v="8298"/>
    <x v="2"/>
    <x v="2"/>
    <n v="2030.14"/>
    <n v="0.16"/>
    <n v="0.01"/>
    <n v="3"/>
    <n v="79"/>
    <n v="13"/>
    <n v="4"/>
    <s v="IsConfid"/>
    <s v="ToolConfid"/>
    <n v="1"/>
  </r>
  <r>
    <n v="8302"/>
    <x v="3"/>
    <x v="0"/>
    <n v="7077.29"/>
    <n v="0.11"/>
    <n v="0.03"/>
    <n v="37"/>
    <n v="43"/>
    <n v="17"/>
    <n v="2"/>
    <s v="IsConfid"/>
    <s v="ToolConfid"/>
    <n v="1"/>
  </r>
  <r>
    <n v="8304"/>
    <x v="3"/>
    <x v="1"/>
    <n v="1407.94"/>
    <n v="0.17"/>
    <n v="0.17"/>
    <n v="46"/>
    <n v="75"/>
    <n v="8"/>
    <n v="5"/>
    <s v="IsConfid"/>
    <s v="ToolConfid"/>
    <n v="1"/>
  </r>
  <r>
    <n v="8310"/>
    <x v="4"/>
    <x v="3"/>
    <n v="2091.2399999999998"/>
    <n v="0.2"/>
    <n v="0.13"/>
    <n v="27"/>
    <n v="76"/>
    <n v="12"/>
    <n v="1"/>
    <s v="IsConfid"/>
    <s v="ToolConfid"/>
    <n v="1"/>
  </r>
  <r>
    <n v="8313"/>
    <x v="1"/>
    <x v="1"/>
    <n v="7187.08"/>
    <n v="0.23"/>
    <n v="0.05"/>
    <n v="46"/>
    <n v="10"/>
    <n v="1"/>
    <n v="9"/>
    <s v="IsConfid"/>
    <s v="ToolConfid"/>
    <n v="1"/>
  </r>
  <r>
    <n v="8316"/>
    <x v="4"/>
    <x v="2"/>
    <n v="678.08"/>
    <n v="0.1"/>
    <n v="0.19"/>
    <n v="18"/>
    <n v="98"/>
    <n v="6"/>
    <n v="2"/>
    <s v="IsConfid"/>
    <s v="ToolConfid"/>
    <n v="0"/>
  </r>
  <r>
    <n v="8317"/>
    <x v="3"/>
    <x v="0"/>
    <n v="1758.08"/>
    <n v="0.11"/>
    <n v="0.2"/>
    <n v="43"/>
    <n v="38"/>
    <n v="8"/>
    <n v="4"/>
    <s v="IsConfid"/>
    <s v="ToolConfid"/>
    <n v="1"/>
  </r>
  <r>
    <n v="8318"/>
    <x v="4"/>
    <x v="2"/>
    <n v="4202.63"/>
    <n v="0.06"/>
    <n v="0.16"/>
    <n v="34"/>
    <n v="62"/>
    <n v="6"/>
    <n v="6"/>
    <s v="IsConfid"/>
    <s v="ToolConfid"/>
    <n v="1"/>
  </r>
  <r>
    <n v="8322"/>
    <x v="0"/>
    <x v="0"/>
    <n v="1580.08"/>
    <n v="0.17"/>
    <n v="0.2"/>
    <n v="2"/>
    <n v="50"/>
    <n v="0"/>
    <n v="8"/>
    <s v="IsConfid"/>
    <s v="ToolConfid"/>
    <n v="1"/>
  </r>
  <r>
    <n v="8323"/>
    <x v="4"/>
    <x v="2"/>
    <n v="5141.01"/>
    <n v="0.11"/>
    <n v="7.0000000000000007E-2"/>
    <n v="38"/>
    <n v="52"/>
    <n v="19"/>
    <n v="0"/>
    <s v="IsConfid"/>
    <s v="ToolConfid"/>
    <n v="1"/>
  </r>
  <r>
    <n v="8325"/>
    <x v="4"/>
    <x v="0"/>
    <n v="3980.5"/>
    <n v="0.22"/>
    <n v="0.19"/>
    <n v="16"/>
    <n v="64"/>
    <n v="1"/>
    <n v="0"/>
    <s v="IsConfid"/>
    <s v="ToolConfid"/>
    <n v="1"/>
  </r>
  <r>
    <n v="8327"/>
    <x v="3"/>
    <x v="0"/>
    <n v="7091.06"/>
    <n v="0.15"/>
    <n v="0.12"/>
    <n v="41"/>
    <n v="11"/>
    <n v="9"/>
    <n v="6"/>
    <s v="IsConfid"/>
    <s v="ToolConfid"/>
    <n v="1"/>
  </r>
  <r>
    <n v="8330"/>
    <x v="3"/>
    <x v="1"/>
    <n v="3310.15"/>
    <n v="0.11"/>
    <n v="0.1"/>
    <n v="19"/>
    <n v="71"/>
    <n v="7"/>
    <n v="7"/>
    <s v="IsConfid"/>
    <s v="ToolConfid"/>
    <n v="1"/>
  </r>
  <r>
    <n v="8332"/>
    <x v="0"/>
    <x v="3"/>
    <n v="8206.31"/>
    <n v="0.13"/>
    <n v="0.18"/>
    <n v="34"/>
    <n v="94"/>
    <n v="5"/>
    <n v="0"/>
    <s v="IsConfid"/>
    <s v="ToolConfid"/>
    <n v="1"/>
  </r>
  <r>
    <n v="8336"/>
    <x v="3"/>
    <x v="3"/>
    <n v="1330.65"/>
    <n v="0.01"/>
    <n v="0.1"/>
    <n v="40"/>
    <n v="84"/>
    <n v="16"/>
    <n v="1"/>
    <s v="IsConfid"/>
    <s v="ToolConfid"/>
    <n v="1"/>
  </r>
  <r>
    <n v="8339"/>
    <x v="2"/>
    <x v="2"/>
    <n v="367.05"/>
    <n v="0.23"/>
    <n v="0.19"/>
    <n v="19"/>
    <n v="62"/>
    <n v="1"/>
    <n v="1"/>
    <s v="IsConfid"/>
    <s v="ToolConfid"/>
    <n v="1"/>
  </r>
  <r>
    <n v="8343"/>
    <x v="2"/>
    <x v="2"/>
    <n v="8208.7800000000007"/>
    <n v="0.17"/>
    <n v="0.05"/>
    <n v="26"/>
    <n v="42"/>
    <n v="10"/>
    <n v="5"/>
    <s v="IsConfid"/>
    <s v="ToolConfid"/>
    <n v="1"/>
  </r>
  <r>
    <n v="8344"/>
    <x v="0"/>
    <x v="0"/>
    <n v="1796.03"/>
    <n v="0.08"/>
    <n v="0.15"/>
    <n v="5"/>
    <n v="75"/>
    <n v="13"/>
    <n v="2"/>
    <s v="IsConfid"/>
    <s v="ToolConfid"/>
    <n v="0"/>
  </r>
  <r>
    <n v="8346"/>
    <x v="0"/>
    <x v="1"/>
    <n v="4907.1000000000004"/>
    <n v="0.13"/>
    <n v="0.05"/>
    <n v="35"/>
    <n v="44"/>
    <n v="9"/>
    <n v="0"/>
    <s v="IsConfid"/>
    <s v="ToolConfid"/>
    <n v="1"/>
  </r>
  <r>
    <n v="8348"/>
    <x v="0"/>
    <x v="2"/>
    <n v="7017.53"/>
    <n v="0.09"/>
    <n v="0.08"/>
    <n v="19"/>
    <n v="53"/>
    <n v="10"/>
    <n v="3"/>
    <s v="IsConfid"/>
    <s v="ToolConfid"/>
    <n v="1"/>
  </r>
  <r>
    <n v="8350"/>
    <x v="4"/>
    <x v="1"/>
    <n v="400.7"/>
    <n v="0.08"/>
    <n v="0.2"/>
    <n v="40"/>
    <n v="6"/>
    <n v="15"/>
    <n v="9"/>
    <s v="IsConfid"/>
    <s v="ToolConfid"/>
    <n v="1"/>
  </r>
  <r>
    <n v="8351"/>
    <x v="4"/>
    <x v="3"/>
    <n v="6501.22"/>
    <n v="0.05"/>
    <n v="0.14000000000000001"/>
    <n v="39"/>
    <n v="35"/>
    <n v="7"/>
    <n v="0"/>
    <s v="IsConfid"/>
    <s v="ToolConfid"/>
    <n v="1"/>
  </r>
  <r>
    <n v="8355"/>
    <x v="0"/>
    <x v="3"/>
    <n v="5900.4"/>
    <n v="0.05"/>
    <n v="0.15"/>
    <n v="9"/>
    <n v="11"/>
    <n v="16"/>
    <n v="3"/>
    <s v="IsConfid"/>
    <s v="ToolConfid"/>
    <n v="1"/>
  </r>
  <r>
    <n v="8359"/>
    <x v="0"/>
    <x v="0"/>
    <n v="1118.0899999999999"/>
    <n v="0.28999999999999998"/>
    <n v="0.05"/>
    <n v="34"/>
    <n v="55"/>
    <n v="0"/>
    <n v="8"/>
    <s v="IsConfid"/>
    <s v="ToolConfid"/>
    <n v="1"/>
  </r>
  <r>
    <n v="8363"/>
    <x v="2"/>
    <x v="0"/>
    <n v="4097.03"/>
    <n v="0.1"/>
    <n v="0.13"/>
    <n v="37"/>
    <n v="56"/>
    <n v="15"/>
    <n v="9"/>
    <s v="IsConfid"/>
    <s v="ToolConfid"/>
    <n v="1"/>
  </r>
  <r>
    <n v="8366"/>
    <x v="2"/>
    <x v="1"/>
    <n v="776.03"/>
    <n v="0.23"/>
    <n v="0.19"/>
    <n v="36"/>
    <n v="69"/>
    <n v="6"/>
    <n v="2"/>
    <s v="IsConfid"/>
    <s v="ToolConfid"/>
    <n v="1"/>
  </r>
  <r>
    <n v="8371"/>
    <x v="4"/>
    <x v="0"/>
    <n v="2028.75"/>
    <n v="0.11"/>
    <n v="0.15"/>
    <n v="2"/>
    <n v="11"/>
    <n v="16"/>
    <n v="8"/>
    <s v="IsConfid"/>
    <s v="ToolConfid"/>
    <n v="1"/>
  </r>
  <r>
    <n v="8378"/>
    <x v="1"/>
    <x v="3"/>
    <n v="5510.91"/>
    <n v="0.14000000000000001"/>
    <n v="0.02"/>
    <n v="15"/>
    <n v="86"/>
    <n v="5"/>
    <n v="4"/>
    <s v="IsConfid"/>
    <s v="ToolConfid"/>
    <n v="1"/>
  </r>
  <r>
    <n v="8381"/>
    <x v="4"/>
    <x v="2"/>
    <n v="9081.1299999999992"/>
    <n v="0.17"/>
    <n v="7.0000000000000007E-2"/>
    <n v="13"/>
    <n v="3"/>
    <n v="9"/>
    <n v="6"/>
    <s v="IsConfid"/>
    <s v="ToolConfid"/>
    <n v="1"/>
  </r>
  <r>
    <n v="8387"/>
    <x v="3"/>
    <x v="3"/>
    <n v="1538.09"/>
    <n v="0.09"/>
    <n v="0.06"/>
    <n v="48"/>
    <n v="39"/>
    <n v="13"/>
    <n v="4"/>
    <s v="IsConfid"/>
    <s v="ToolConfid"/>
    <n v="1"/>
  </r>
  <r>
    <n v="8395"/>
    <x v="1"/>
    <x v="1"/>
    <n v="2074.81"/>
    <n v="0.11"/>
    <n v="0.1"/>
    <n v="42"/>
    <n v="17"/>
    <n v="2"/>
    <n v="7"/>
    <s v="IsConfid"/>
    <s v="ToolConfid"/>
    <n v="1"/>
  </r>
  <r>
    <n v="8396"/>
    <x v="4"/>
    <x v="1"/>
    <n v="210.26"/>
    <n v="0.17"/>
    <n v="0.02"/>
    <n v="33"/>
    <n v="80"/>
    <n v="12"/>
    <n v="1"/>
    <s v="IsConfid"/>
    <s v="ToolConfid"/>
    <n v="1"/>
  </r>
  <r>
    <n v="8398"/>
    <x v="2"/>
    <x v="1"/>
    <n v="401.94"/>
    <n v="0.22"/>
    <n v="0.08"/>
    <n v="27"/>
    <n v="66"/>
    <n v="16"/>
    <n v="8"/>
    <s v="IsConfid"/>
    <s v="ToolConfid"/>
    <n v="1"/>
  </r>
  <r>
    <n v="8403"/>
    <x v="0"/>
    <x v="3"/>
    <n v="3520.52"/>
    <n v="0.11"/>
    <n v="0.06"/>
    <n v="33"/>
    <n v="46"/>
    <n v="14"/>
    <n v="4"/>
    <s v="IsConfid"/>
    <s v="ToolConfid"/>
    <n v="1"/>
  </r>
  <r>
    <n v="8408"/>
    <x v="3"/>
    <x v="2"/>
    <n v="3279.05"/>
    <n v="0.1"/>
    <n v="0.04"/>
    <n v="21"/>
    <n v="11"/>
    <n v="13"/>
    <n v="7"/>
    <s v="IsConfid"/>
    <s v="ToolConfid"/>
    <n v="1"/>
  </r>
  <r>
    <n v="8411"/>
    <x v="2"/>
    <x v="2"/>
    <n v="6270.23"/>
    <n v="0.22"/>
    <n v="0.17"/>
    <n v="35"/>
    <n v="55"/>
    <n v="3"/>
    <n v="0"/>
    <s v="IsConfid"/>
    <s v="ToolConfid"/>
    <n v="1"/>
  </r>
  <r>
    <n v="8413"/>
    <x v="3"/>
    <x v="0"/>
    <n v="4404.55"/>
    <n v="0.08"/>
    <n v="0.11"/>
    <n v="36"/>
    <n v="50"/>
    <n v="8"/>
    <n v="0"/>
    <s v="IsConfid"/>
    <s v="ToolConfid"/>
    <n v="1"/>
  </r>
  <r>
    <n v="8415"/>
    <x v="2"/>
    <x v="1"/>
    <n v="5088.59"/>
    <n v="0.28000000000000003"/>
    <n v="7.0000000000000007E-2"/>
    <n v="3"/>
    <n v="72"/>
    <n v="0"/>
    <n v="6"/>
    <s v="IsConfid"/>
    <s v="ToolConfid"/>
    <n v="1"/>
  </r>
  <r>
    <n v="8416"/>
    <x v="4"/>
    <x v="0"/>
    <n v="3906.49"/>
    <n v="0.09"/>
    <n v="0.13"/>
    <n v="3"/>
    <n v="65"/>
    <n v="11"/>
    <n v="1"/>
    <s v="IsConfid"/>
    <s v="ToolConfid"/>
    <n v="1"/>
  </r>
  <r>
    <n v="8419"/>
    <x v="2"/>
    <x v="0"/>
    <n v="5804.86"/>
    <n v="0.23"/>
    <n v="0.14000000000000001"/>
    <n v="42"/>
    <n v="7"/>
    <n v="2"/>
    <n v="6"/>
    <s v="IsConfid"/>
    <s v="ToolConfid"/>
    <n v="1"/>
  </r>
  <r>
    <n v="8420"/>
    <x v="0"/>
    <x v="3"/>
    <n v="1015.35"/>
    <n v="0.05"/>
    <n v="0.06"/>
    <n v="49"/>
    <n v="37"/>
    <n v="10"/>
    <n v="2"/>
    <s v="IsConfid"/>
    <s v="ToolConfid"/>
    <n v="1"/>
  </r>
  <r>
    <n v="8421"/>
    <x v="0"/>
    <x v="1"/>
    <n v="6524.09"/>
    <n v="0.21"/>
    <n v="0.13"/>
    <n v="25"/>
    <n v="5"/>
    <n v="9"/>
    <n v="4"/>
    <s v="IsConfid"/>
    <s v="ToolConfid"/>
    <n v="1"/>
  </r>
  <r>
    <n v="8422"/>
    <x v="2"/>
    <x v="1"/>
    <n v="4308.2"/>
    <n v="0.16"/>
    <n v="0.19"/>
    <n v="32"/>
    <n v="58"/>
    <n v="18"/>
    <n v="0"/>
    <s v="IsConfid"/>
    <s v="ToolConfid"/>
    <n v="1"/>
  </r>
  <r>
    <n v="8425"/>
    <x v="4"/>
    <x v="0"/>
    <n v="6044.61"/>
    <n v="0.09"/>
    <n v="0.15"/>
    <n v="8"/>
    <n v="55"/>
    <n v="7"/>
    <n v="9"/>
    <s v="IsConfid"/>
    <s v="ToolConfid"/>
    <n v="1"/>
  </r>
  <r>
    <n v="8427"/>
    <x v="4"/>
    <x v="3"/>
    <n v="660.25"/>
    <n v="0.26"/>
    <n v="7.0000000000000007E-2"/>
    <n v="10"/>
    <n v="93"/>
    <n v="9"/>
    <n v="3"/>
    <s v="IsConfid"/>
    <s v="ToolConfid"/>
    <n v="1"/>
  </r>
  <r>
    <n v="8430"/>
    <x v="3"/>
    <x v="1"/>
    <n v="5017.95"/>
    <n v="0.05"/>
    <n v="0.17"/>
    <n v="31"/>
    <n v="44"/>
    <n v="6"/>
    <n v="7"/>
    <s v="IsConfid"/>
    <s v="ToolConfid"/>
    <n v="1"/>
  </r>
  <r>
    <n v="8433"/>
    <x v="4"/>
    <x v="2"/>
    <n v="2061.19"/>
    <n v="0.1"/>
    <n v="0.12"/>
    <n v="39"/>
    <n v="49"/>
    <n v="6"/>
    <n v="1"/>
    <s v="IsConfid"/>
    <s v="ToolConfid"/>
    <n v="1"/>
  </r>
  <r>
    <n v="8434"/>
    <x v="1"/>
    <x v="2"/>
    <n v="1072.6400000000001"/>
    <n v="0.23"/>
    <n v="0.08"/>
    <n v="27"/>
    <n v="31"/>
    <n v="15"/>
    <n v="8"/>
    <s v="IsConfid"/>
    <s v="ToolConfid"/>
    <n v="1"/>
  </r>
  <r>
    <n v="8440"/>
    <x v="2"/>
    <x v="1"/>
    <n v="7036.58"/>
    <n v="0.09"/>
    <n v="0.1"/>
    <n v="18"/>
    <n v="65"/>
    <n v="16"/>
    <n v="7"/>
    <s v="IsConfid"/>
    <s v="ToolConfid"/>
    <n v="1"/>
  </r>
  <r>
    <n v="8441"/>
    <x v="1"/>
    <x v="3"/>
    <n v="965.03"/>
    <n v="0.18"/>
    <n v="0.08"/>
    <n v="1"/>
    <n v="66"/>
    <n v="16"/>
    <n v="0"/>
    <s v="IsConfid"/>
    <s v="ToolConfid"/>
    <n v="1"/>
  </r>
  <r>
    <n v="8445"/>
    <x v="3"/>
    <x v="1"/>
    <n v="4007.04"/>
    <n v="0.26"/>
    <n v="0.05"/>
    <n v="17"/>
    <n v="17"/>
    <n v="13"/>
    <n v="2"/>
    <s v="IsConfid"/>
    <s v="ToolConfid"/>
    <n v="1"/>
  </r>
  <r>
    <n v="8449"/>
    <x v="1"/>
    <x v="3"/>
    <n v="3009.32"/>
    <n v="7.0000000000000007E-2"/>
    <n v="0.06"/>
    <n v="43"/>
    <n v="84"/>
    <n v="14"/>
    <n v="9"/>
    <s v="IsConfid"/>
    <s v="ToolConfid"/>
    <n v="1"/>
  </r>
  <r>
    <n v="8452"/>
    <x v="4"/>
    <x v="1"/>
    <n v="7709.05"/>
    <n v="0.04"/>
    <n v="0.09"/>
    <n v="37"/>
    <n v="63"/>
    <n v="11"/>
    <n v="6"/>
    <s v="IsConfid"/>
    <s v="ToolConfid"/>
    <n v="1"/>
  </r>
  <r>
    <n v="8457"/>
    <x v="4"/>
    <x v="0"/>
    <n v="2950.12"/>
    <n v="0.09"/>
    <n v="0.11"/>
    <n v="12"/>
    <n v="72"/>
    <n v="6"/>
    <n v="6"/>
    <s v="IsConfid"/>
    <s v="ToolConfid"/>
    <n v="1"/>
  </r>
  <r>
    <n v="8458"/>
    <x v="2"/>
    <x v="1"/>
    <n v="650.07000000000005"/>
    <n v="0.27"/>
    <n v="0.12"/>
    <n v="21"/>
    <n v="74"/>
    <n v="2"/>
    <n v="8"/>
    <s v="IsConfid"/>
    <s v="ToolConfid"/>
    <n v="1"/>
  </r>
  <r>
    <n v="8460"/>
    <x v="4"/>
    <x v="1"/>
    <n v="6523.08"/>
    <n v="0.26"/>
    <n v="0.09"/>
    <n v="47"/>
    <n v="77"/>
    <n v="18"/>
    <n v="5"/>
    <s v="IsConfid"/>
    <s v="ToolConfid"/>
    <n v="1"/>
  </r>
  <r>
    <n v="8461"/>
    <x v="0"/>
    <x v="2"/>
    <n v="8036.13"/>
    <n v="0.15"/>
    <n v="0.12"/>
    <n v="17"/>
    <n v="37"/>
    <n v="13"/>
    <n v="7"/>
    <s v="IsConfid"/>
    <s v="ToolConfid"/>
    <n v="1"/>
  </r>
  <r>
    <n v="8465"/>
    <x v="1"/>
    <x v="2"/>
    <n v="6309.8"/>
    <n v="0.03"/>
    <n v="0.16"/>
    <n v="32"/>
    <n v="71"/>
    <n v="4"/>
    <n v="4"/>
    <s v="IsConfid"/>
    <s v="ToolConfid"/>
    <n v="1"/>
  </r>
  <r>
    <n v="8466"/>
    <x v="1"/>
    <x v="2"/>
    <n v="8095.34"/>
    <n v="0.28000000000000003"/>
    <n v="0.2"/>
    <n v="45"/>
    <n v="93"/>
    <n v="5"/>
    <n v="4"/>
    <s v="IsConfid"/>
    <s v="ToolConfid"/>
    <n v="1"/>
  </r>
  <r>
    <n v="8468"/>
    <x v="0"/>
    <x v="2"/>
    <n v="3048.86"/>
    <n v="0.11"/>
    <n v="0.16"/>
    <n v="34"/>
    <n v="64"/>
    <n v="9"/>
    <n v="0"/>
    <s v="IsConfid"/>
    <s v="ToolConfid"/>
    <n v="1"/>
  </r>
  <r>
    <n v="8469"/>
    <x v="0"/>
    <x v="3"/>
    <n v="838.07"/>
    <n v="0.08"/>
    <n v="0.06"/>
    <n v="11"/>
    <n v="88"/>
    <n v="4"/>
    <n v="2"/>
    <s v="IsConfid"/>
    <s v="ToolConfid"/>
    <n v="0"/>
  </r>
  <r>
    <n v="8471"/>
    <x v="4"/>
    <x v="3"/>
    <n v="1019.34"/>
    <n v="0.21"/>
    <n v="0.14000000000000001"/>
    <n v="33"/>
    <n v="26"/>
    <n v="6"/>
    <n v="5"/>
    <s v="IsConfid"/>
    <s v="ToolConfid"/>
    <n v="1"/>
  </r>
  <r>
    <n v="8472"/>
    <x v="4"/>
    <x v="2"/>
    <n v="2509.7800000000002"/>
    <n v="0.18"/>
    <n v="0.02"/>
    <n v="11"/>
    <n v="24"/>
    <n v="9"/>
    <n v="3"/>
    <s v="IsConfid"/>
    <s v="ToolConfid"/>
    <n v="1"/>
  </r>
  <r>
    <n v="8474"/>
    <x v="2"/>
    <x v="0"/>
    <n v="9077.42"/>
    <n v="0.02"/>
    <n v="0.01"/>
    <n v="31"/>
    <n v="67"/>
    <n v="16"/>
    <n v="9"/>
    <s v="IsConfid"/>
    <s v="ToolConfid"/>
    <n v="1"/>
  </r>
  <r>
    <n v="8481"/>
    <x v="0"/>
    <x v="3"/>
    <n v="8030.77"/>
    <n v="0.11"/>
    <n v="0.19"/>
    <n v="4"/>
    <n v="75"/>
    <n v="5"/>
    <n v="4"/>
    <s v="IsConfid"/>
    <s v="ToolConfid"/>
    <n v="1"/>
  </r>
  <r>
    <n v="8483"/>
    <x v="3"/>
    <x v="1"/>
    <n v="3605.63"/>
    <n v="0.19"/>
    <n v="0.12"/>
    <n v="5"/>
    <n v="78"/>
    <n v="4"/>
    <n v="3"/>
    <s v="IsConfid"/>
    <s v="ToolConfid"/>
    <n v="1"/>
  </r>
  <r>
    <n v="8484"/>
    <x v="4"/>
    <x v="3"/>
    <n v="7087.85"/>
    <n v="0.02"/>
    <n v="0.12"/>
    <n v="18"/>
    <n v="56"/>
    <n v="15"/>
    <n v="8"/>
    <s v="IsConfid"/>
    <s v="ToolConfid"/>
    <n v="1"/>
  </r>
  <r>
    <n v="8486"/>
    <x v="0"/>
    <x v="2"/>
    <n v="6939.08"/>
    <n v="0.19"/>
    <n v="0.12"/>
    <n v="39"/>
    <n v="68"/>
    <n v="15"/>
    <n v="4"/>
    <s v="IsConfid"/>
    <s v="ToolConfid"/>
    <n v="1"/>
  </r>
  <r>
    <n v="8494"/>
    <x v="0"/>
    <x v="2"/>
    <n v="7760.63"/>
    <n v="0.28999999999999998"/>
    <n v="0.08"/>
    <n v="42"/>
    <n v="93"/>
    <n v="19"/>
    <n v="7"/>
    <s v="IsConfid"/>
    <s v="ToolConfid"/>
    <n v="1"/>
  </r>
  <r>
    <n v="8500"/>
    <x v="3"/>
    <x v="0"/>
    <n v="1294.03"/>
    <n v="0.23"/>
    <n v="0.03"/>
    <n v="28"/>
    <n v="28"/>
    <n v="7"/>
    <n v="7"/>
    <s v="IsConfid"/>
    <s v="ToolConfid"/>
    <n v="1"/>
  </r>
  <r>
    <n v="8501"/>
    <x v="4"/>
    <x v="3"/>
    <n v="1739.01"/>
    <n v="0.06"/>
    <n v="0.08"/>
    <n v="1"/>
    <n v="6"/>
    <n v="12"/>
    <n v="0"/>
    <s v="IsConfid"/>
    <s v="ToolConfid"/>
    <n v="0"/>
  </r>
  <r>
    <n v="8502"/>
    <x v="2"/>
    <x v="0"/>
    <n v="8220.77"/>
    <n v="0.02"/>
    <n v="7.0000000000000007E-2"/>
    <n v="29"/>
    <n v="48"/>
    <n v="5"/>
    <n v="4"/>
    <s v="IsConfid"/>
    <s v="ToolConfid"/>
    <n v="1"/>
  </r>
  <r>
    <n v="8503"/>
    <x v="1"/>
    <x v="3"/>
    <n v="8052.8"/>
    <n v="7.0000000000000007E-2"/>
    <n v="0.1"/>
    <n v="38"/>
    <n v="64"/>
    <n v="8"/>
    <n v="2"/>
    <s v="IsConfid"/>
    <s v="ToolConfid"/>
    <n v="1"/>
  </r>
  <r>
    <n v="8507"/>
    <x v="0"/>
    <x v="0"/>
    <n v="3339.05"/>
    <n v="0.23"/>
    <n v="0.02"/>
    <n v="19"/>
    <n v="98"/>
    <n v="11"/>
    <n v="0"/>
    <s v="IsConfid"/>
    <s v="ToolConfid"/>
    <n v="1"/>
  </r>
  <r>
    <n v="8509"/>
    <x v="0"/>
    <x v="2"/>
    <n v="4909.58"/>
    <n v="0.25"/>
    <n v="0.1"/>
    <n v="18"/>
    <n v="84"/>
    <n v="18"/>
    <n v="5"/>
    <s v="IsConfid"/>
    <s v="ToolConfid"/>
    <n v="1"/>
  </r>
  <r>
    <n v="8510"/>
    <x v="1"/>
    <x v="0"/>
    <n v="9300.31"/>
    <n v="0.24"/>
    <n v="0.02"/>
    <n v="5"/>
    <n v="12"/>
    <n v="18"/>
    <n v="5"/>
    <s v="IsConfid"/>
    <s v="ToolConfid"/>
    <n v="1"/>
  </r>
  <r>
    <n v="8514"/>
    <x v="3"/>
    <x v="1"/>
    <n v="9901.9699999999993"/>
    <n v="0.11"/>
    <n v="0.13"/>
    <n v="32"/>
    <n v="72"/>
    <n v="14"/>
    <n v="4"/>
    <s v="IsConfid"/>
    <s v="ToolConfid"/>
    <n v="1"/>
  </r>
  <r>
    <n v="8520"/>
    <x v="0"/>
    <x v="1"/>
    <n v="5603.16"/>
    <n v="0.28000000000000003"/>
    <n v="0.17"/>
    <n v="0"/>
    <n v="58"/>
    <n v="12"/>
    <n v="4"/>
    <s v="IsConfid"/>
    <s v="ToolConfid"/>
    <n v="1"/>
  </r>
  <r>
    <n v="8523"/>
    <x v="4"/>
    <x v="2"/>
    <n v="9380.66"/>
    <n v="0.16"/>
    <n v="0.08"/>
    <n v="21"/>
    <n v="5"/>
    <n v="14"/>
    <n v="6"/>
    <s v="IsConfid"/>
    <s v="ToolConfid"/>
    <n v="1"/>
  </r>
  <r>
    <n v="8525"/>
    <x v="0"/>
    <x v="2"/>
    <n v="2804.32"/>
    <n v="0.28999999999999998"/>
    <n v="0.04"/>
    <n v="28"/>
    <n v="30"/>
    <n v="8"/>
    <n v="1"/>
    <s v="IsConfid"/>
    <s v="ToolConfid"/>
    <n v="1"/>
  </r>
  <r>
    <n v="8526"/>
    <x v="3"/>
    <x v="2"/>
    <n v="3038.9"/>
    <n v="0.22"/>
    <n v="0.19"/>
    <n v="35"/>
    <n v="17"/>
    <n v="16"/>
    <n v="1"/>
    <s v="IsConfid"/>
    <s v="ToolConfid"/>
    <n v="1"/>
  </r>
  <r>
    <n v="8528"/>
    <x v="4"/>
    <x v="0"/>
    <n v="2930.09"/>
    <n v="0.23"/>
    <n v="0.19"/>
    <n v="32"/>
    <n v="2"/>
    <n v="9"/>
    <n v="5"/>
    <s v="IsConfid"/>
    <s v="ToolConfid"/>
    <n v="1"/>
  </r>
  <r>
    <n v="8529"/>
    <x v="2"/>
    <x v="3"/>
    <n v="1016.99"/>
    <n v="0.15"/>
    <n v="0.06"/>
    <n v="38"/>
    <n v="70"/>
    <n v="8"/>
    <n v="1"/>
    <s v="IsConfid"/>
    <s v="ToolConfid"/>
    <n v="1"/>
  </r>
  <r>
    <n v="8530"/>
    <x v="1"/>
    <x v="0"/>
    <n v="5044.54"/>
    <n v="0.01"/>
    <n v="0.12"/>
    <n v="13"/>
    <n v="25"/>
    <n v="19"/>
    <n v="4"/>
    <s v="IsConfid"/>
    <s v="ToolConfid"/>
    <n v="1"/>
  </r>
  <r>
    <n v="8538"/>
    <x v="3"/>
    <x v="1"/>
    <n v="3063.27"/>
    <n v="0.19"/>
    <n v="7.0000000000000007E-2"/>
    <n v="4"/>
    <n v="78"/>
    <n v="9"/>
    <n v="6"/>
    <s v="IsConfid"/>
    <s v="ToolConfid"/>
    <n v="1"/>
  </r>
  <r>
    <n v="8541"/>
    <x v="0"/>
    <x v="3"/>
    <n v="4602.93"/>
    <n v="0.16"/>
    <n v="0.05"/>
    <n v="45"/>
    <n v="46"/>
    <n v="18"/>
    <n v="1"/>
    <s v="IsConfid"/>
    <s v="ToolConfid"/>
    <n v="1"/>
  </r>
  <r>
    <n v="8544"/>
    <x v="2"/>
    <x v="0"/>
    <n v="8960.17"/>
    <n v="0.01"/>
    <n v="0.02"/>
    <n v="47"/>
    <n v="95"/>
    <n v="16"/>
    <n v="7"/>
    <s v="IsConfid"/>
    <s v="ToolConfid"/>
    <n v="1"/>
  </r>
  <r>
    <n v="8545"/>
    <x v="4"/>
    <x v="3"/>
    <n v="1610.69"/>
    <n v="0.26"/>
    <n v="0.04"/>
    <n v="36"/>
    <n v="87"/>
    <n v="2"/>
    <n v="8"/>
    <s v="IsConfid"/>
    <s v="ToolConfid"/>
    <n v="1"/>
  </r>
  <r>
    <n v="8546"/>
    <x v="0"/>
    <x v="1"/>
    <n v="2001.8"/>
    <n v="0.01"/>
    <n v="0.13"/>
    <n v="26"/>
    <n v="83"/>
    <n v="2"/>
    <n v="3"/>
    <s v="IsConfid"/>
    <s v="ToolConfid"/>
    <n v="1"/>
  </r>
  <r>
    <n v="8553"/>
    <x v="0"/>
    <x v="2"/>
    <n v="5800.88"/>
    <n v="0.19"/>
    <n v="0.08"/>
    <n v="28"/>
    <n v="15"/>
    <n v="5"/>
    <n v="2"/>
    <s v="IsConfid"/>
    <s v="ToolConfid"/>
    <n v="1"/>
  </r>
  <r>
    <n v="8554"/>
    <x v="2"/>
    <x v="0"/>
    <n v="6270.75"/>
    <n v="0.25"/>
    <n v="0.08"/>
    <n v="30"/>
    <n v="64"/>
    <n v="9"/>
    <n v="1"/>
    <s v="IsConfid"/>
    <s v="ToolConfid"/>
    <n v="1"/>
  </r>
  <r>
    <n v="8556"/>
    <x v="4"/>
    <x v="2"/>
    <n v="7390.87"/>
    <n v="0.14000000000000001"/>
    <n v="0.12"/>
    <n v="7"/>
    <n v="70"/>
    <n v="8"/>
    <n v="7"/>
    <s v="IsConfid"/>
    <s v="ToolConfid"/>
    <n v="1"/>
  </r>
  <r>
    <n v="8561"/>
    <x v="1"/>
    <x v="3"/>
    <n v="2084.5100000000002"/>
    <n v="7.0000000000000007E-2"/>
    <n v="0.02"/>
    <n v="25"/>
    <n v="70"/>
    <n v="15"/>
    <n v="8"/>
    <s v="IsConfid"/>
    <s v="ToolConfid"/>
    <n v="0"/>
  </r>
  <r>
    <n v="8565"/>
    <x v="2"/>
    <x v="1"/>
    <n v="9800.91"/>
    <n v="0.15"/>
    <n v="0.15"/>
    <n v="22"/>
    <n v="13"/>
    <n v="1"/>
    <n v="7"/>
    <s v="IsConfid"/>
    <s v="ToolConfid"/>
    <n v="1"/>
  </r>
  <r>
    <n v="8569"/>
    <x v="0"/>
    <x v="0"/>
    <n v="9309.93"/>
    <n v="0.25"/>
    <n v="0.04"/>
    <n v="32"/>
    <n v="3"/>
    <n v="14"/>
    <n v="6"/>
    <s v="IsConfid"/>
    <s v="ToolConfid"/>
    <n v="1"/>
  </r>
  <r>
    <n v="8571"/>
    <x v="3"/>
    <x v="1"/>
    <n v="4760.83"/>
    <n v="0.05"/>
    <n v="0.1"/>
    <n v="48"/>
    <n v="42"/>
    <n v="12"/>
    <n v="1"/>
    <s v="IsConfid"/>
    <s v="ToolConfid"/>
    <n v="1"/>
  </r>
  <r>
    <n v="8573"/>
    <x v="3"/>
    <x v="3"/>
    <n v="5260.54"/>
    <n v="0.2"/>
    <n v="0.02"/>
    <n v="11"/>
    <n v="83"/>
    <n v="4"/>
    <n v="7"/>
    <s v="IsConfid"/>
    <s v="ToolConfid"/>
    <n v="1"/>
  </r>
  <r>
    <n v="8575"/>
    <x v="4"/>
    <x v="1"/>
    <n v="3109.99"/>
    <n v="0.08"/>
    <n v="0.12"/>
    <n v="41"/>
    <n v="5"/>
    <n v="9"/>
    <n v="6"/>
    <s v="IsConfid"/>
    <s v="ToolConfid"/>
    <n v="1"/>
  </r>
  <r>
    <n v="8582"/>
    <x v="4"/>
    <x v="1"/>
    <n v="6051.11"/>
    <n v="0.04"/>
    <n v="0.11"/>
    <n v="49"/>
    <n v="37"/>
    <n v="12"/>
    <n v="5"/>
    <s v="IsConfid"/>
    <s v="ToolConfid"/>
    <n v="1"/>
  </r>
  <r>
    <n v="8583"/>
    <x v="1"/>
    <x v="3"/>
    <n v="7085.47"/>
    <n v="0.21"/>
    <n v="7.0000000000000007E-2"/>
    <n v="1"/>
    <n v="65"/>
    <n v="3"/>
    <n v="2"/>
    <s v="IsConfid"/>
    <s v="ToolConfid"/>
    <n v="1"/>
  </r>
  <r>
    <n v="8584"/>
    <x v="0"/>
    <x v="2"/>
    <n v="4008.13"/>
    <n v="0.08"/>
    <n v="0.17"/>
    <n v="6"/>
    <n v="64"/>
    <n v="13"/>
    <n v="5"/>
    <s v="IsConfid"/>
    <s v="ToolConfid"/>
    <n v="1"/>
  </r>
  <r>
    <n v="8586"/>
    <x v="1"/>
    <x v="3"/>
    <n v="9096.17"/>
    <n v="0.06"/>
    <n v="0.17"/>
    <n v="21"/>
    <n v="29"/>
    <n v="6"/>
    <n v="0"/>
    <s v="IsConfid"/>
    <s v="ToolConfid"/>
    <n v="1"/>
  </r>
  <r>
    <n v="8589"/>
    <x v="0"/>
    <x v="0"/>
    <n v="5018.95"/>
    <n v="0.06"/>
    <n v="0.19"/>
    <n v="19"/>
    <n v="31"/>
    <n v="4"/>
    <n v="4"/>
    <s v="IsConfid"/>
    <s v="ToolConfid"/>
    <n v="1"/>
  </r>
  <r>
    <n v="8593"/>
    <x v="2"/>
    <x v="1"/>
    <n v="5220.51"/>
    <n v="0.28999999999999998"/>
    <n v="0.1"/>
    <n v="2"/>
    <n v="4"/>
    <n v="7"/>
    <n v="6"/>
    <s v="IsConfid"/>
    <s v="ToolConfid"/>
    <n v="1"/>
  </r>
  <r>
    <n v="8594"/>
    <x v="3"/>
    <x v="1"/>
    <n v="2161.0300000000002"/>
    <n v="0.24"/>
    <n v="0.11"/>
    <n v="49"/>
    <n v="98"/>
    <n v="6"/>
    <n v="2"/>
    <s v="IsConfid"/>
    <s v="ToolConfid"/>
    <n v="1"/>
  </r>
  <r>
    <n v="8596"/>
    <x v="0"/>
    <x v="1"/>
    <n v="3058.74"/>
    <n v="0.01"/>
    <n v="0.18"/>
    <n v="26"/>
    <n v="95"/>
    <n v="2"/>
    <n v="8"/>
    <s v="IsConfid"/>
    <s v="ToolConfid"/>
    <n v="1"/>
  </r>
  <r>
    <n v="8597"/>
    <x v="2"/>
    <x v="0"/>
    <n v="5846.06"/>
    <n v="0.04"/>
    <n v="0.14000000000000001"/>
    <n v="3"/>
    <n v="58"/>
    <n v="17"/>
    <n v="1"/>
    <s v="IsConfid"/>
    <s v="ToolConfid"/>
    <n v="1"/>
  </r>
  <r>
    <n v="8598"/>
    <x v="2"/>
    <x v="1"/>
    <n v="2788.07"/>
    <n v="0.17"/>
    <n v="0.13"/>
    <n v="2"/>
    <n v="22"/>
    <n v="14"/>
    <n v="8"/>
    <s v="IsConfid"/>
    <s v="ToolConfid"/>
    <n v="1"/>
  </r>
  <r>
    <n v="8599"/>
    <x v="2"/>
    <x v="1"/>
    <n v="4309.16"/>
    <n v="0.28999999999999998"/>
    <n v="0.19"/>
    <n v="26"/>
    <n v="7"/>
    <n v="14"/>
    <n v="2"/>
    <s v="IsConfid"/>
    <s v="ToolConfid"/>
    <n v="1"/>
  </r>
  <r>
    <n v="8612"/>
    <x v="4"/>
    <x v="1"/>
    <n v="7895.05"/>
    <n v="0.28999999999999998"/>
    <n v="0.1"/>
    <n v="30"/>
    <n v="32"/>
    <n v="7"/>
    <n v="0"/>
    <s v="IsConfid"/>
    <s v="ToolConfid"/>
    <n v="1"/>
  </r>
  <r>
    <n v="8616"/>
    <x v="0"/>
    <x v="3"/>
    <n v="8290.5400000000009"/>
    <n v="0.14000000000000001"/>
    <n v="0.02"/>
    <n v="20"/>
    <n v="98"/>
    <n v="11"/>
    <n v="2"/>
    <s v="IsConfid"/>
    <s v="ToolConfid"/>
    <n v="1"/>
  </r>
  <r>
    <n v="8617"/>
    <x v="0"/>
    <x v="2"/>
    <n v="9064.65"/>
    <n v="0.02"/>
    <n v="0.16"/>
    <n v="45"/>
    <n v="27"/>
    <n v="17"/>
    <n v="3"/>
    <s v="IsConfid"/>
    <s v="ToolConfid"/>
    <n v="1"/>
  </r>
  <r>
    <n v="8619"/>
    <x v="4"/>
    <x v="2"/>
    <n v="3206.78"/>
    <n v="0.28000000000000003"/>
    <n v="0.11"/>
    <n v="0"/>
    <n v="74"/>
    <n v="15"/>
    <n v="2"/>
    <s v="IsConfid"/>
    <s v="ToolConfid"/>
    <n v="1"/>
  </r>
  <r>
    <n v="8623"/>
    <x v="0"/>
    <x v="0"/>
    <n v="7939.09"/>
    <n v="0.23"/>
    <n v="0.09"/>
    <n v="35"/>
    <n v="22"/>
    <n v="5"/>
    <n v="0"/>
    <s v="IsConfid"/>
    <s v="ToolConfid"/>
    <n v="1"/>
  </r>
  <r>
    <n v="8627"/>
    <x v="1"/>
    <x v="0"/>
    <n v="5705.5"/>
    <n v="0.19"/>
    <n v="7.0000000000000007E-2"/>
    <n v="40"/>
    <n v="40"/>
    <n v="7"/>
    <n v="6"/>
    <s v="IsConfid"/>
    <s v="ToolConfid"/>
    <n v="1"/>
  </r>
  <r>
    <n v="8631"/>
    <x v="2"/>
    <x v="3"/>
    <n v="3182.09"/>
    <n v="0.27"/>
    <n v="0.1"/>
    <n v="11"/>
    <n v="0"/>
    <n v="10"/>
    <n v="1"/>
    <s v="IsConfid"/>
    <s v="ToolConfid"/>
    <n v="1"/>
  </r>
  <r>
    <n v="8638"/>
    <x v="4"/>
    <x v="3"/>
    <n v="2900.43"/>
    <n v="0.22"/>
    <n v="0.02"/>
    <n v="32"/>
    <n v="42"/>
    <n v="1"/>
    <n v="3"/>
    <s v="IsConfid"/>
    <s v="ToolConfid"/>
    <n v="0"/>
  </r>
  <r>
    <n v="8643"/>
    <x v="4"/>
    <x v="2"/>
    <n v="6576.04"/>
    <n v="0.01"/>
    <n v="0.15"/>
    <n v="29"/>
    <n v="25"/>
    <n v="17"/>
    <n v="7"/>
    <s v="IsConfid"/>
    <s v="ToolConfid"/>
    <n v="1"/>
  </r>
  <r>
    <n v="8644"/>
    <x v="3"/>
    <x v="3"/>
    <n v="7022.07"/>
    <n v="0.1"/>
    <n v="0.17"/>
    <n v="27"/>
    <n v="17"/>
    <n v="16"/>
    <n v="5"/>
    <s v="IsConfid"/>
    <s v="ToolConfid"/>
    <n v="1"/>
  </r>
  <r>
    <n v="8646"/>
    <x v="4"/>
    <x v="1"/>
    <n v="4801.7"/>
    <n v="0.17"/>
    <n v="7.0000000000000007E-2"/>
    <n v="11"/>
    <n v="74"/>
    <n v="5"/>
    <n v="3"/>
    <s v="IsConfid"/>
    <s v="ToolConfid"/>
    <n v="1"/>
  </r>
  <r>
    <n v="8647"/>
    <x v="2"/>
    <x v="1"/>
    <n v="4097.29"/>
    <n v="0.24"/>
    <n v="7.0000000000000007E-2"/>
    <n v="43"/>
    <n v="65"/>
    <n v="17"/>
    <n v="6"/>
    <s v="IsConfid"/>
    <s v="ToolConfid"/>
    <n v="1"/>
  </r>
  <r>
    <n v="8653"/>
    <x v="2"/>
    <x v="1"/>
    <n v="7003.89"/>
    <n v="0.12"/>
    <n v="7.0000000000000007E-2"/>
    <n v="13"/>
    <n v="14"/>
    <n v="2"/>
    <n v="2"/>
    <s v="IsConfid"/>
    <s v="ToolConfid"/>
    <n v="1"/>
  </r>
  <r>
    <n v="8657"/>
    <x v="2"/>
    <x v="3"/>
    <n v="4606.12"/>
    <n v="0.28999999999999998"/>
    <n v="0.01"/>
    <n v="7"/>
    <n v="26"/>
    <n v="12"/>
    <n v="6"/>
    <s v="IsConfid"/>
    <s v="ToolConfid"/>
    <n v="1"/>
  </r>
  <r>
    <n v="8662"/>
    <x v="0"/>
    <x v="0"/>
    <n v="9004.83"/>
    <n v="0.1"/>
    <n v="0.18"/>
    <n v="40"/>
    <n v="49"/>
    <n v="1"/>
    <n v="1"/>
    <s v="IsConfid"/>
    <s v="ToolConfid"/>
    <n v="1"/>
  </r>
  <r>
    <n v="8664"/>
    <x v="3"/>
    <x v="3"/>
    <n v="4857.08"/>
    <n v="0.06"/>
    <n v="0.2"/>
    <n v="7"/>
    <n v="23"/>
    <n v="14"/>
    <n v="4"/>
    <s v="IsConfid"/>
    <s v="ToolConfid"/>
    <n v="1"/>
  </r>
  <r>
    <n v="8665"/>
    <x v="1"/>
    <x v="3"/>
    <n v="9054.59"/>
    <n v="0.26"/>
    <n v="0.11"/>
    <n v="25"/>
    <n v="33"/>
    <n v="3"/>
    <n v="7"/>
    <s v="IsConfid"/>
    <s v="ToolConfid"/>
    <n v="1"/>
  </r>
  <r>
    <n v="8666"/>
    <x v="4"/>
    <x v="1"/>
    <n v="8042.21"/>
    <n v="0.13"/>
    <n v="0.19"/>
    <n v="4"/>
    <n v="90"/>
    <n v="10"/>
    <n v="4"/>
    <s v="IsConfid"/>
    <s v="ToolConfid"/>
    <n v="1"/>
  </r>
  <r>
    <n v="8667"/>
    <x v="0"/>
    <x v="3"/>
    <n v="2509.9699999999998"/>
    <n v="0.28999999999999998"/>
    <n v="0.05"/>
    <n v="8"/>
    <n v="19"/>
    <n v="6"/>
    <n v="1"/>
    <s v="IsConfid"/>
    <s v="ToolConfid"/>
    <n v="0"/>
  </r>
  <r>
    <n v="8674"/>
    <x v="1"/>
    <x v="3"/>
    <n v="200.72"/>
    <n v="0.28000000000000003"/>
    <n v="0.08"/>
    <n v="30"/>
    <n v="49"/>
    <n v="1"/>
    <n v="7"/>
    <s v="IsConfid"/>
    <s v="ToolConfid"/>
    <n v="1"/>
  </r>
  <r>
    <n v="8675"/>
    <x v="1"/>
    <x v="2"/>
    <n v="7005.13"/>
    <n v="0.08"/>
    <n v="0.03"/>
    <n v="0"/>
    <n v="54"/>
    <n v="6"/>
    <n v="0"/>
    <s v="IsConfid"/>
    <s v="ToolConfid"/>
    <n v="1"/>
  </r>
  <r>
    <n v="8678"/>
    <x v="1"/>
    <x v="2"/>
    <n v="6106.27"/>
    <n v="0.1"/>
    <n v="0.08"/>
    <n v="46"/>
    <n v="96"/>
    <n v="17"/>
    <n v="7"/>
    <s v="IsConfid"/>
    <s v="ToolConfid"/>
    <n v="1"/>
  </r>
  <r>
    <n v="8679"/>
    <x v="4"/>
    <x v="1"/>
    <n v="4860.24"/>
    <n v="0.09"/>
    <n v="0.17"/>
    <n v="30"/>
    <n v="9"/>
    <n v="14"/>
    <n v="9"/>
    <s v="IsConfid"/>
    <s v="ToolConfid"/>
    <n v="1"/>
  </r>
  <r>
    <n v="8682"/>
    <x v="3"/>
    <x v="3"/>
    <n v="7150.11"/>
    <n v="0.16"/>
    <n v="0.06"/>
    <n v="10"/>
    <n v="10"/>
    <n v="16"/>
    <n v="4"/>
    <s v="IsConfid"/>
    <s v="ToolConfid"/>
    <n v="1"/>
  </r>
  <r>
    <n v="8686"/>
    <x v="3"/>
    <x v="2"/>
    <n v="201.36"/>
    <n v="0.16"/>
    <n v="0.19"/>
    <n v="29"/>
    <n v="19"/>
    <n v="4"/>
    <n v="8"/>
    <s v="IsConfid"/>
    <s v="ToolConfid"/>
    <n v="1"/>
  </r>
  <r>
    <n v="8688"/>
    <x v="2"/>
    <x v="1"/>
    <n v="1972.01"/>
    <n v="0.02"/>
    <n v="0.03"/>
    <n v="46"/>
    <n v="78"/>
    <n v="11"/>
    <n v="2"/>
    <s v="IsConfid"/>
    <s v="ToolConfid"/>
    <n v="0"/>
  </r>
  <r>
    <n v="8697"/>
    <x v="3"/>
    <x v="1"/>
    <n v="6069.91"/>
    <n v="0.22"/>
    <n v="0.14000000000000001"/>
    <n v="43"/>
    <n v="30"/>
    <n v="4"/>
    <n v="1"/>
    <s v="IsConfid"/>
    <s v="ToolConfid"/>
    <n v="1"/>
  </r>
  <r>
    <n v="8698"/>
    <x v="2"/>
    <x v="0"/>
    <n v="8266.06"/>
    <n v="0.13"/>
    <n v="0.08"/>
    <n v="25"/>
    <n v="50"/>
    <n v="18"/>
    <n v="0"/>
    <s v="IsConfid"/>
    <s v="ToolConfid"/>
    <n v="1"/>
  </r>
  <r>
    <n v="8699"/>
    <x v="4"/>
    <x v="0"/>
    <n v="1032.82"/>
    <n v="0.17"/>
    <n v="0.04"/>
    <n v="41"/>
    <n v="82"/>
    <n v="10"/>
    <n v="9"/>
    <s v="IsConfid"/>
    <s v="ToolConfid"/>
    <n v="1"/>
  </r>
  <r>
    <n v="8703"/>
    <x v="2"/>
    <x v="1"/>
    <n v="5501.98"/>
    <n v="0.24"/>
    <n v="0.13"/>
    <n v="45"/>
    <n v="76"/>
    <n v="14"/>
    <n v="3"/>
    <s v="IsConfid"/>
    <s v="ToolConfid"/>
    <n v="1"/>
  </r>
  <r>
    <n v="8704"/>
    <x v="2"/>
    <x v="0"/>
    <n v="2340"/>
    <n v="0.04"/>
    <n v="0.15"/>
    <n v="34"/>
    <n v="37"/>
    <n v="3"/>
    <n v="1"/>
    <s v="IsConfid"/>
    <s v="ToolConfid"/>
    <n v="1"/>
  </r>
  <r>
    <n v="8707"/>
    <x v="3"/>
    <x v="2"/>
    <n v="1076.6600000000001"/>
    <n v="0.11"/>
    <n v="0.01"/>
    <n v="6"/>
    <n v="10"/>
    <n v="1"/>
    <n v="5"/>
    <s v="IsConfid"/>
    <s v="ToolConfid"/>
    <n v="0"/>
  </r>
  <r>
    <n v="8709"/>
    <x v="4"/>
    <x v="3"/>
    <n v="5930.52"/>
    <n v="0.18"/>
    <n v="0.19"/>
    <n v="46"/>
    <n v="57"/>
    <n v="18"/>
    <n v="6"/>
    <s v="IsConfid"/>
    <s v="ToolConfid"/>
    <n v="1"/>
  </r>
  <r>
    <n v="8714"/>
    <x v="4"/>
    <x v="0"/>
    <n v="5040.49"/>
    <n v="0.18"/>
    <n v="7.0000000000000007E-2"/>
    <n v="16"/>
    <n v="88"/>
    <n v="7"/>
    <n v="9"/>
    <s v="IsConfid"/>
    <s v="ToolConfid"/>
    <n v="1"/>
  </r>
  <r>
    <n v="8723"/>
    <x v="0"/>
    <x v="1"/>
    <n v="2915.02"/>
    <n v="0.09"/>
    <n v="0.09"/>
    <n v="37"/>
    <n v="59"/>
    <n v="1"/>
    <n v="4"/>
    <s v="IsConfid"/>
    <s v="ToolConfid"/>
    <n v="0"/>
  </r>
  <r>
    <n v="8727"/>
    <x v="2"/>
    <x v="1"/>
    <n v="1197.03"/>
    <n v="7.0000000000000007E-2"/>
    <n v="0.19"/>
    <n v="39"/>
    <n v="50"/>
    <n v="10"/>
    <n v="0"/>
    <s v="IsConfid"/>
    <s v="ToolConfid"/>
    <n v="0"/>
  </r>
  <r>
    <n v="8729"/>
    <x v="0"/>
    <x v="1"/>
    <n v="8420.17"/>
    <n v="0.11"/>
    <n v="0.11"/>
    <n v="33"/>
    <n v="56"/>
    <n v="13"/>
    <n v="1"/>
    <s v="IsConfid"/>
    <s v="ToolConfid"/>
    <n v="1"/>
  </r>
  <r>
    <n v="8730"/>
    <x v="1"/>
    <x v="1"/>
    <n v="6820.19"/>
    <n v="0.28999999999999998"/>
    <n v="0.12"/>
    <n v="9"/>
    <n v="83"/>
    <n v="4"/>
    <n v="2"/>
    <s v="IsConfid"/>
    <s v="ToolConfid"/>
    <n v="1"/>
  </r>
  <r>
    <n v="8733"/>
    <x v="1"/>
    <x v="1"/>
    <n v="8607.68"/>
    <n v="0.05"/>
    <n v="0.19"/>
    <n v="43"/>
    <n v="5"/>
    <n v="4"/>
    <n v="8"/>
    <s v="IsConfid"/>
    <s v="ToolConfid"/>
    <n v="1"/>
  </r>
  <r>
    <n v="8734"/>
    <x v="2"/>
    <x v="3"/>
    <n v="1307.55"/>
    <n v="0.03"/>
    <n v="0.06"/>
    <n v="9"/>
    <n v="6"/>
    <n v="4"/>
    <n v="3"/>
    <s v="IsConfid"/>
    <s v="ToolConfid"/>
    <n v="0"/>
  </r>
  <r>
    <n v="8739"/>
    <x v="1"/>
    <x v="0"/>
    <n v="5800.55"/>
    <n v="0.12"/>
    <n v="0.05"/>
    <n v="6"/>
    <n v="97"/>
    <n v="1"/>
    <n v="7"/>
    <s v="IsConfid"/>
    <s v="ToolConfid"/>
    <n v="1"/>
  </r>
  <r>
    <n v="8742"/>
    <x v="3"/>
    <x v="0"/>
    <n v="5395.05"/>
    <n v="0.17"/>
    <n v="0.18"/>
    <n v="12"/>
    <n v="4"/>
    <n v="9"/>
    <n v="4"/>
    <s v="IsConfid"/>
    <s v="ToolConfid"/>
    <n v="1"/>
  </r>
  <r>
    <n v="8746"/>
    <x v="4"/>
    <x v="3"/>
    <n v="6244.07"/>
    <n v="0.16"/>
    <n v="0.13"/>
    <n v="46"/>
    <n v="1"/>
    <n v="9"/>
    <n v="3"/>
    <s v="IsConfid"/>
    <s v="ToolConfid"/>
    <n v="1"/>
  </r>
  <r>
    <n v="8748"/>
    <x v="4"/>
    <x v="2"/>
    <n v="4120.01"/>
    <n v="0.09"/>
    <n v="0.06"/>
    <n v="46"/>
    <n v="9"/>
    <n v="18"/>
    <n v="5"/>
    <s v="IsConfid"/>
    <s v="ToolConfid"/>
    <n v="1"/>
  </r>
  <r>
    <n v="8750"/>
    <x v="0"/>
    <x v="2"/>
    <n v="401.22"/>
    <n v="0.23"/>
    <n v="0.05"/>
    <n v="9"/>
    <n v="50"/>
    <n v="1"/>
    <n v="6"/>
    <s v="IsConfid"/>
    <s v="ToolConfid"/>
    <n v="1"/>
  </r>
  <r>
    <n v="8756"/>
    <x v="1"/>
    <x v="1"/>
    <n v="4031.75"/>
    <n v="0.22"/>
    <n v="0.08"/>
    <n v="44"/>
    <n v="23"/>
    <n v="0"/>
    <n v="3"/>
    <s v="IsConfid"/>
    <s v="ToolConfid"/>
    <n v="1"/>
  </r>
  <r>
    <n v="8758"/>
    <x v="3"/>
    <x v="3"/>
    <n v="9347.0300000000007"/>
    <n v="0.2"/>
    <n v="0.1"/>
    <n v="16"/>
    <n v="55"/>
    <n v="17"/>
    <n v="5"/>
    <s v="IsConfid"/>
    <s v="ToolConfid"/>
    <n v="1"/>
  </r>
  <r>
    <n v="8764"/>
    <x v="4"/>
    <x v="2"/>
    <n v="2903.51"/>
    <n v="0.23"/>
    <n v="0.01"/>
    <n v="0"/>
    <n v="80"/>
    <n v="14"/>
    <n v="7"/>
    <s v="IsConfid"/>
    <s v="ToolConfid"/>
    <n v="1"/>
  </r>
  <r>
    <n v="8765"/>
    <x v="2"/>
    <x v="1"/>
    <n v="6035.83"/>
    <n v="0.13"/>
    <n v="0.16"/>
    <n v="31"/>
    <n v="11"/>
    <n v="5"/>
    <n v="0"/>
    <s v="IsConfid"/>
    <s v="ToolConfid"/>
    <n v="1"/>
  </r>
  <r>
    <n v="8768"/>
    <x v="3"/>
    <x v="0"/>
    <n v="8095.47"/>
    <n v="0.04"/>
    <n v="0.17"/>
    <n v="17"/>
    <n v="71"/>
    <n v="11"/>
    <n v="3"/>
    <s v="IsConfid"/>
    <s v="ToolConfid"/>
    <n v="1"/>
  </r>
  <r>
    <n v="8769"/>
    <x v="4"/>
    <x v="2"/>
    <n v="1316.02"/>
    <n v="0.21"/>
    <n v="0.13"/>
    <n v="49"/>
    <n v="21"/>
    <n v="9"/>
    <n v="3"/>
    <s v="IsConfid"/>
    <s v="ToolConfid"/>
    <n v="1"/>
  </r>
  <r>
    <n v="8774"/>
    <x v="4"/>
    <x v="3"/>
    <n v="9970.5300000000007"/>
    <n v="0.27"/>
    <n v="0.06"/>
    <n v="25"/>
    <n v="27"/>
    <n v="17"/>
    <n v="1"/>
    <s v="IsConfid"/>
    <s v="ToolConfid"/>
    <n v="1"/>
  </r>
  <r>
    <n v="8776"/>
    <x v="1"/>
    <x v="1"/>
    <n v="1905.06"/>
    <n v="0.17"/>
    <n v="0.13"/>
    <n v="27"/>
    <n v="27"/>
    <n v="8"/>
    <n v="4"/>
    <s v="IsConfid"/>
    <s v="ToolConfid"/>
    <n v="1"/>
  </r>
  <r>
    <n v="8795"/>
    <x v="0"/>
    <x v="2"/>
    <n v="4908.2299999999996"/>
    <n v="0.16"/>
    <n v="0.08"/>
    <n v="26"/>
    <n v="34"/>
    <n v="3"/>
    <n v="4"/>
    <s v="IsConfid"/>
    <s v="ToolConfid"/>
    <n v="1"/>
  </r>
  <r>
    <n v="8796"/>
    <x v="4"/>
    <x v="3"/>
    <n v="1410.49"/>
    <n v="0.16"/>
    <n v="0.19"/>
    <n v="16"/>
    <n v="96"/>
    <n v="8"/>
    <n v="2"/>
    <s v="IsConfid"/>
    <s v="ToolConfid"/>
    <n v="1"/>
  </r>
  <r>
    <n v="8801"/>
    <x v="1"/>
    <x v="3"/>
    <n v="5044.33"/>
    <n v="0.3"/>
    <n v="0.15"/>
    <n v="43"/>
    <n v="32"/>
    <n v="12"/>
    <n v="7"/>
    <s v="IsConfid"/>
    <s v="ToolConfid"/>
    <n v="1"/>
  </r>
  <r>
    <n v="8802"/>
    <x v="4"/>
    <x v="3"/>
    <n v="8047.38"/>
    <n v="0.26"/>
    <n v="0.05"/>
    <n v="47"/>
    <n v="94"/>
    <n v="16"/>
    <n v="7"/>
    <s v="IsConfid"/>
    <s v="ToolConfid"/>
    <n v="1"/>
  </r>
  <r>
    <n v="8807"/>
    <x v="0"/>
    <x v="2"/>
    <n v="6205.6"/>
    <n v="0.25"/>
    <n v="7.0000000000000007E-2"/>
    <n v="33"/>
    <n v="99"/>
    <n v="2"/>
    <n v="8"/>
    <s v="IsConfid"/>
    <s v="ToolConfid"/>
    <n v="1"/>
  </r>
  <r>
    <n v="8812"/>
    <x v="2"/>
    <x v="0"/>
    <n v="1509.51"/>
    <n v="0.12"/>
    <n v="0.11"/>
    <n v="27"/>
    <n v="26"/>
    <n v="13"/>
    <n v="8"/>
    <s v="IsConfid"/>
    <s v="ToolConfid"/>
    <n v="1"/>
  </r>
  <r>
    <n v="8814"/>
    <x v="2"/>
    <x v="2"/>
    <n v="9860.82"/>
    <n v="0.22"/>
    <n v="0.01"/>
    <n v="47"/>
    <n v="57"/>
    <n v="18"/>
    <n v="9"/>
    <s v="IsConfid"/>
    <s v="ToolConfid"/>
    <n v="1"/>
  </r>
  <r>
    <n v="8816"/>
    <x v="4"/>
    <x v="2"/>
    <n v="6730.02"/>
    <n v="0.19"/>
    <n v="0.1"/>
    <n v="17"/>
    <n v="3"/>
    <n v="18"/>
    <n v="3"/>
    <s v="IsConfid"/>
    <s v="ToolConfid"/>
    <n v="1"/>
  </r>
  <r>
    <n v="8819"/>
    <x v="0"/>
    <x v="3"/>
    <n v="1958.04"/>
    <n v="0.27"/>
    <n v="0.04"/>
    <n v="15"/>
    <n v="79"/>
    <n v="10"/>
    <n v="8"/>
    <s v="IsConfid"/>
    <s v="ToolConfid"/>
    <n v="1"/>
  </r>
  <r>
    <n v="8820"/>
    <x v="4"/>
    <x v="2"/>
    <n v="210.99"/>
    <n v="0.17"/>
    <n v="0.08"/>
    <n v="32"/>
    <n v="90"/>
    <n v="0"/>
    <n v="4"/>
    <s v="IsConfid"/>
    <s v="ToolConfid"/>
    <n v="1"/>
  </r>
  <r>
    <n v="8822"/>
    <x v="3"/>
    <x v="0"/>
    <n v="9004.43"/>
    <n v="0.14000000000000001"/>
    <n v="0.02"/>
    <n v="4"/>
    <n v="19"/>
    <n v="7"/>
    <n v="7"/>
    <s v="IsConfid"/>
    <s v="ToolConfid"/>
    <n v="1"/>
  </r>
  <r>
    <n v="8823"/>
    <x v="3"/>
    <x v="2"/>
    <n v="9039.5"/>
    <n v="0.16"/>
    <n v="0.18"/>
    <n v="46"/>
    <n v="45"/>
    <n v="6"/>
    <n v="7"/>
    <s v="IsConfid"/>
    <s v="ToolConfid"/>
    <n v="1"/>
  </r>
  <r>
    <n v="8825"/>
    <x v="2"/>
    <x v="2"/>
    <n v="2123.09"/>
    <n v="0.25"/>
    <n v="0.02"/>
    <n v="36"/>
    <n v="0"/>
    <n v="15"/>
    <n v="6"/>
    <s v="IsConfid"/>
    <s v="ToolConfid"/>
    <n v="1"/>
  </r>
  <r>
    <n v="8830"/>
    <x v="2"/>
    <x v="1"/>
    <n v="5960.13"/>
    <n v="0.26"/>
    <n v="0.17"/>
    <n v="10"/>
    <n v="83"/>
    <n v="3"/>
    <n v="9"/>
    <s v="IsConfid"/>
    <s v="ToolConfid"/>
    <n v="1"/>
  </r>
  <r>
    <n v="8831"/>
    <x v="2"/>
    <x v="2"/>
    <n v="1052.3800000000001"/>
    <n v="0.09"/>
    <n v="0.05"/>
    <n v="21"/>
    <n v="79"/>
    <n v="18"/>
    <n v="9"/>
    <s v="IsConfid"/>
    <s v="ToolConfid"/>
    <n v="0"/>
  </r>
  <r>
    <n v="8835"/>
    <x v="0"/>
    <x v="3"/>
    <n v="5240.54"/>
    <n v="0.26"/>
    <n v="0.15"/>
    <n v="2"/>
    <n v="78"/>
    <n v="12"/>
    <n v="7"/>
    <s v="IsConfid"/>
    <s v="ToolConfid"/>
    <n v="1"/>
  </r>
  <r>
    <n v="8836"/>
    <x v="2"/>
    <x v="2"/>
    <n v="3026.93"/>
    <n v="0.02"/>
    <n v="0.15"/>
    <n v="41"/>
    <n v="15"/>
    <n v="2"/>
    <n v="5"/>
    <s v="IsConfid"/>
    <s v="ToolConfid"/>
    <n v="1"/>
  </r>
  <r>
    <n v="8838"/>
    <x v="1"/>
    <x v="1"/>
    <n v="5780.81"/>
    <n v="0.27"/>
    <n v="0.11"/>
    <n v="16"/>
    <n v="24"/>
    <n v="16"/>
    <n v="5"/>
    <s v="IsConfid"/>
    <s v="ToolConfid"/>
    <n v="1"/>
  </r>
  <r>
    <n v="8843"/>
    <x v="0"/>
    <x v="1"/>
    <n v="208.19"/>
    <n v="0.17"/>
    <n v="0.01"/>
    <n v="11"/>
    <n v="28"/>
    <n v="17"/>
    <n v="7"/>
    <s v="IsConfid"/>
    <s v="ToolConfid"/>
    <n v="1"/>
  </r>
  <r>
    <n v="8848"/>
    <x v="3"/>
    <x v="0"/>
    <n v="206.81"/>
    <n v="0.08"/>
    <n v="0.06"/>
    <n v="3"/>
    <n v="62"/>
    <n v="0"/>
    <n v="8"/>
    <s v="IsConfid"/>
    <s v="ToolConfid"/>
    <n v="1"/>
  </r>
  <r>
    <n v="8851"/>
    <x v="4"/>
    <x v="1"/>
    <n v="3266.03"/>
    <n v="0.12"/>
    <n v="0.2"/>
    <n v="19"/>
    <n v="45"/>
    <n v="2"/>
    <n v="6"/>
    <s v="IsConfid"/>
    <s v="ToolConfid"/>
    <n v="1"/>
  </r>
  <r>
    <n v="8857"/>
    <x v="4"/>
    <x v="0"/>
    <n v="2216.04"/>
    <n v="0.27"/>
    <n v="0.11"/>
    <n v="14"/>
    <n v="61"/>
    <n v="11"/>
    <n v="4"/>
    <s v="IsConfid"/>
    <s v="ToolConfid"/>
    <n v="1"/>
  </r>
  <r>
    <n v="8861"/>
    <x v="2"/>
    <x v="1"/>
    <n v="6019.38"/>
    <n v="0.25"/>
    <n v="0.14000000000000001"/>
    <n v="5"/>
    <n v="72"/>
    <n v="9"/>
    <n v="9"/>
    <s v="IsConfid"/>
    <s v="ToolConfid"/>
    <n v="1"/>
  </r>
  <r>
    <n v="8863"/>
    <x v="0"/>
    <x v="3"/>
    <n v="4047.62"/>
    <n v="0.19"/>
    <n v="0.17"/>
    <n v="31"/>
    <n v="44"/>
    <n v="14"/>
    <n v="2"/>
    <s v="IsConfid"/>
    <s v="ToolConfid"/>
    <n v="0"/>
  </r>
  <r>
    <n v="8864"/>
    <x v="1"/>
    <x v="0"/>
    <n v="3094.99"/>
    <n v="0.02"/>
    <n v="0.04"/>
    <n v="16"/>
    <n v="84"/>
    <n v="15"/>
    <n v="3"/>
    <s v="IsConfid"/>
    <s v="ToolConfid"/>
    <n v="1"/>
  </r>
  <r>
    <n v="8866"/>
    <x v="2"/>
    <x v="0"/>
    <n v="6084.89"/>
    <n v="0.27"/>
    <n v="0.19"/>
    <n v="38"/>
    <n v="94"/>
    <n v="12"/>
    <n v="6"/>
    <s v="IsConfid"/>
    <s v="ToolConfid"/>
    <n v="1"/>
  </r>
  <r>
    <n v="8872"/>
    <x v="2"/>
    <x v="2"/>
    <n v="5450.99"/>
    <n v="0.28000000000000003"/>
    <n v="0.03"/>
    <n v="45"/>
    <n v="54"/>
    <n v="8"/>
    <n v="0"/>
    <s v="IsConfid"/>
    <s v="ToolConfid"/>
    <n v="1"/>
  </r>
  <r>
    <n v="8876"/>
    <x v="2"/>
    <x v="1"/>
    <n v="1030.3399999999999"/>
    <n v="0.23"/>
    <n v="0.12"/>
    <n v="38"/>
    <n v="20"/>
    <n v="9"/>
    <n v="8"/>
    <s v="IsConfid"/>
    <s v="ToolConfid"/>
    <n v="1"/>
  </r>
  <r>
    <n v="8883"/>
    <x v="2"/>
    <x v="3"/>
    <n v="3809.74"/>
    <n v="0.27"/>
    <n v="0.17"/>
    <n v="1"/>
    <n v="24"/>
    <n v="19"/>
    <n v="3"/>
    <s v="IsConfid"/>
    <s v="ToolConfid"/>
    <n v="1"/>
  </r>
  <r>
    <n v="8884"/>
    <x v="1"/>
    <x v="1"/>
    <n v="3420.89"/>
    <n v="0.17"/>
    <n v="0.15"/>
    <n v="11"/>
    <n v="81"/>
    <n v="17"/>
    <n v="6"/>
    <s v="IsConfid"/>
    <s v="ToolConfid"/>
    <n v="1"/>
  </r>
  <r>
    <n v="8887"/>
    <x v="3"/>
    <x v="3"/>
    <n v="1979.06"/>
    <n v="0.17"/>
    <n v="0.08"/>
    <n v="7"/>
    <n v="88"/>
    <n v="7"/>
    <n v="0"/>
    <s v="IsConfid"/>
    <s v="ToolConfid"/>
    <n v="1"/>
  </r>
  <r>
    <n v="8889"/>
    <x v="0"/>
    <x v="3"/>
    <n v="5401.64"/>
    <n v="0.12"/>
    <n v="0.02"/>
    <n v="23"/>
    <n v="97"/>
    <n v="3"/>
    <n v="2"/>
    <s v="IsConfid"/>
    <s v="ToolConfid"/>
    <n v="0"/>
  </r>
  <r>
    <n v="8891"/>
    <x v="0"/>
    <x v="3"/>
    <n v="1761.02"/>
    <n v="0.28000000000000003"/>
    <n v="0.06"/>
    <n v="24"/>
    <n v="47"/>
    <n v="15"/>
    <n v="3"/>
    <s v="IsConfid"/>
    <s v="ToolConfid"/>
    <n v="1"/>
  </r>
  <r>
    <n v="8893"/>
    <x v="1"/>
    <x v="2"/>
    <n v="4582.03"/>
    <n v="0.18"/>
    <n v="0.04"/>
    <n v="13"/>
    <n v="2"/>
    <n v="17"/>
    <n v="4"/>
    <s v="IsConfid"/>
    <s v="ToolConfid"/>
    <n v="1"/>
  </r>
  <r>
    <n v="8897"/>
    <x v="4"/>
    <x v="2"/>
    <n v="5158.08"/>
    <n v="7.0000000000000007E-2"/>
    <n v="0.17"/>
    <n v="31"/>
    <n v="19"/>
    <n v="0"/>
    <n v="3"/>
    <s v="IsConfid"/>
    <s v="ToolConfid"/>
    <n v="1"/>
  </r>
  <r>
    <n v="8899"/>
    <x v="2"/>
    <x v="2"/>
    <n v="4604.62"/>
    <n v="0.19"/>
    <n v="0.08"/>
    <n v="20"/>
    <n v="80"/>
    <n v="0"/>
    <n v="3"/>
    <s v="IsConfid"/>
    <s v="ToolConfid"/>
    <n v="1"/>
  </r>
  <r>
    <n v="8903"/>
    <x v="1"/>
    <x v="0"/>
    <n v="8908.1299999999992"/>
    <n v="0.13"/>
    <n v="0.17"/>
    <n v="28"/>
    <n v="97"/>
    <n v="2"/>
    <n v="6"/>
    <s v="IsConfid"/>
    <s v="ToolConfid"/>
    <n v="1"/>
  </r>
  <r>
    <n v="8904"/>
    <x v="1"/>
    <x v="3"/>
    <n v="2067.65"/>
    <n v="0.25"/>
    <n v="0.1"/>
    <n v="22"/>
    <n v="79"/>
    <n v="17"/>
    <n v="2"/>
    <s v="IsConfid"/>
    <s v="ToolConfid"/>
    <n v="1"/>
  </r>
  <r>
    <n v="8906"/>
    <x v="0"/>
    <x v="2"/>
    <n v="3560.56"/>
    <n v="7.0000000000000007E-2"/>
    <n v="0.13"/>
    <n v="20"/>
    <n v="71"/>
    <n v="5"/>
    <n v="2"/>
    <s v="IsConfid"/>
    <s v="ToolConfid"/>
    <n v="1"/>
  </r>
  <r>
    <n v="8910"/>
    <x v="1"/>
    <x v="1"/>
    <n v="8461.01"/>
    <n v="0.17"/>
    <n v="0.1"/>
    <n v="34"/>
    <n v="37"/>
    <n v="10"/>
    <n v="3"/>
    <s v="IsConfid"/>
    <s v="ToolConfid"/>
    <n v="1"/>
  </r>
  <r>
    <n v="8911"/>
    <x v="0"/>
    <x v="0"/>
    <n v="2934.07"/>
    <n v="0.23"/>
    <n v="0.09"/>
    <n v="4"/>
    <n v="63"/>
    <n v="4"/>
    <n v="2"/>
    <s v="IsConfid"/>
    <s v="ToolConfid"/>
    <n v="0"/>
  </r>
  <r>
    <n v="8914"/>
    <x v="2"/>
    <x v="1"/>
    <n v="2032.02"/>
    <n v="0.17"/>
    <n v="0.15"/>
    <n v="6"/>
    <n v="91"/>
    <n v="0"/>
    <n v="5"/>
    <s v="IsConfid"/>
    <s v="ToolConfid"/>
    <n v="0"/>
  </r>
  <r>
    <n v="8916"/>
    <x v="4"/>
    <x v="1"/>
    <n v="1034.8399999999999"/>
    <n v="0.26"/>
    <n v="7.0000000000000007E-2"/>
    <n v="16"/>
    <n v="60"/>
    <n v="17"/>
    <n v="3"/>
    <s v="IsConfid"/>
    <s v="ToolConfid"/>
    <n v="1"/>
  </r>
  <r>
    <n v="8921"/>
    <x v="0"/>
    <x v="0"/>
    <n v="4520.92"/>
    <n v="0.14000000000000001"/>
    <n v="0.08"/>
    <n v="15"/>
    <n v="49"/>
    <n v="19"/>
    <n v="2"/>
    <s v="IsConfid"/>
    <s v="ToolConfid"/>
    <n v="1"/>
  </r>
  <r>
    <n v="8925"/>
    <x v="4"/>
    <x v="0"/>
    <n v="1006.39"/>
    <n v="0.2"/>
    <n v="0.16"/>
    <n v="45"/>
    <n v="10"/>
    <n v="4"/>
    <n v="4"/>
    <s v="IsConfid"/>
    <s v="ToolConfid"/>
    <n v="1"/>
  </r>
  <r>
    <n v="8926"/>
    <x v="3"/>
    <x v="3"/>
    <n v="9580.33"/>
    <n v="0.18"/>
    <n v="0.11"/>
    <n v="7"/>
    <n v="37"/>
    <n v="11"/>
    <n v="6"/>
    <s v="IsConfid"/>
    <s v="ToolConfid"/>
    <n v="1"/>
  </r>
  <r>
    <n v="8927"/>
    <x v="2"/>
    <x v="0"/>
    <n v="6689.07"/>
    <n v="0.18"/>
    <n v="0.16"/>
    <n v="28"/>
    <n v="55"/>
    <n v="12"/>
    <n v="8"/>
    <s v="IsConfid"/>
    <s v="ToolConfid"/>
    <n v="1"/>
  </r>
  <r>
    <n v="8931"/>
    <x v="2"/>
    <x v="0"/>
    <n v="6008.32"/>
    <n v="0.06"/>
    <n v="0.06"/>
    <n v="15"/>
    <n v="69"/>
    <n v="3"/>
    <n v="2"/>
    <s v="IsConfid"/>
    <s v="ToolConfid"/>
    <n v="1"/>
  </r>
  <r>
    <n v="8933"/>
    <x v="0"/>
    <x v="2"/>
    <n v="7360.72"/>
    <n v="0.05"/>
    <n v="0.19"/>
    <n v="21"/>
    <n v="89"/>
    <n v="17"/>
    <n v="3"/>
    <s v="IsConfid"/>
    <s v="ToolConfid"/>
    <n v="1"/>
  </r>
  <r>
    <n v="8938"/>
    <x v="1"/>
    <x v="3"/>
    <n v="3890.34"/>
    <n v="0.2"/>
    <n v="0.09"/>
    <n v="49"/>
    <n v="80"/>
    <n v="9"/>
    <n v="7"/>
    <s v="IsConfid"/>
    <s v="ToolConfid"/>
    <n v="1"/>
  </r>
  <r>
    <n v="8949"/>
    <x v="1"/>
    <x v="1"/>
    <n v="6980.12"/>
    <n v="7.0000000000000007E-2"/>
    <n v="0.1"/>
    <n v="32"/>
    <n v="47"/>
    <n v="18"/>
    <n v="1"/>
    <s v="IsConfid"/>
    <s v="ToolConfid"/>
    <n v="1"/>
  </r>
  <r>
    <n v="8952"/>
    <x v="0"/>
    <x v="1"/>
    <n v="5990.81"/>
    <n v="0.23"/>
    <n v="0.11"/>
    <n v="33"/>
    <n v="46"/>
    <n v="12"/>
    <n v="0"/>
    <s v="IsConfid"/>
    <s v="ToolConfid"/>
    <n v="1"/>
  </r>
  <r>
    <n v="8957"/>
    <x v="3"/>
    <x v="0"/>
    <n v="6800.08"/>
    <n v="0.11"/>
    <n v="0.04"/>
    <n v="14"/>
    <n v="33"/>
    <n v="8"/>
    <n v="0"/>
    <s v="IsConfid"/>
    <s v="ToolConfid"/>
    <n v="1"/>
  </r>
  <r>
    <n v="8960"/>
    <x v="1"/>
    <x v="1"/>
    <n v="6104.36"/>
    <n v="0.15"/>
    <n v="0.19"/>
    <n v="20"/>
    <n v="84"/>
    <n v="18"/>
    <n v="3"/>
    <s v="IsConfid"/>
    <s v="ToolConfid"/>
    <n v="1"/>
  </r>
  <r>
    <n v="8963"/>
    <x v="3"/>
    <x v="2"/>
    <n v="3863.08"/>
    <n v="0.05"/>
    <n v="0.15"/>
    <n v="2"/>
    <n v="41"/>
    <n v="8"/>
    <n v="8"/>
    <s v="IsConfid"/>
    <s v="ToolConfid"/>
    <n v="0"/>
  </r>
  <r>
    <n v="8965"/>
    <x v="0"/>
    <x v="3"/>
    <n v="9880.92"/>
    <n v="0.25"/>
    <n v="0.12"/>
    <n v="20"/>
    <n v="68"/>
    <n v="10"/>
    <n v="7"/>
    <s v="IsConfid"/>
    <s v="ToolConfid"/>
    <n v="1"/>
  </r>
  <r>
    <n v="8973"/>
    <x v="2"/>
    <x v="3"/>
    <n v="5062.99"/>
    <n v="0.08"/>
    <n v="0.15"/>
    <n v="19"/>
    <n v="67"/>
    <n v="19"/>
    <n v="9"/>
    <s v="IsConfid"/>
    <s v="ToolConfid"/>
    <n v="1"/>
  </r>
  <r>
    <n v="8980"/>
    <x v="3"/>
    <x v="0"/>
    <n v="4083.44"/>
    <n v="0.19"/>
    <n v="0.17"/>
    <n v="44"/>
    <n v="55"/>
    <n v="5"/>
    <n v="4"/>
    <s v="IsConfid"/>
    <s v="ToolConfid"/>
    <n v="1"/>
  </r>
  <r>
    <n v="8982"/>
    <x v="0"/>
    <x v="2"/>
    <n v="6140.42"/>
    <n v="0.13"/>
    <n v="0.03"/>
    <n v="2"/>
    <n v="64"/>
    <n v="0"/>
    <n v="7"/>
    <s v="IsConfid"/>
    <s v="ToolConfid"/>
    <n v="1"/>
  </r>
  <r>
    <n v="8984"/>
    <x v="3"/>
    <x v="1"/>
    <n v="9205.67"/>
    <n v="0.18"/>
    <n v="0.13"/>
    <n v="40"/>
    <n v="39"/>
    <n v="0"/>
    <n v="8"/>
    <s v="IsConfid"/>
    <s v="ToolConfid"/>
    <n v="1"/>
  </r>
  <r>
    <n v="8986"/>
    <x v="2"/>
    <x v="0"/>
    <n v="4047.08"/>
    <n v="7.0000000000000007E-2"/>
    <n v="0.12"/>
    <n v="40"/>
    <n v="26"/>
    <n v="8"/>
    <n v="1"/>
    <s v="IsConfid"/>
    <s v="ToolConfid"/>
    <n v="1"/>
  </r>
  <r>
    <n v="8987"/>
    <x v="1"/>
    <x v="3"/>
    <n v="2709.53"/>
    <n v="0.22"/>
    <n v="0.18"/>
    <n v="12"/>
    <n v="66"/>
    <n v="9"/>
    <n v="9"/>
    <s v="IsConfid"/>
    <s v="ToolConfid"/>
    <n v="1"/>
  </r>
  <r>
    <n v="8988"/>
    <x v="1"/>
    <x v="2"/>
    <n v="9062.32"/>
    <n v="0.1"/>
    <n v="0.02"/>
    <n v="8"/>
    <n v="99"/>
    <n v="11"/>
    <n v="5"/>
    <s v="IsConfid"/>
    <s v="ToolConfid"/>
    <n v="1"/>
  </r>
  <r>
    <n v="8989"/>
    <x v="0"/>
    <x v="1"/>
    <n v="261.02"/>
    <n v="0.06"/>
    <n v="0.03"/>
    <n v="45"/>
    <n v="93"/>
    <n v="3"/>
    <n v="3"/>
    <s v="IsConfid"/>
    <s v="ToolConfid"/>
    <n v="0"/>
  </r>
  <r>
    <n v="8991"/>
    <x v="2"/>
    <x v="2"/>
    <n v="9440.7099999999991"/>
    <n v="7.0000000000000007E-2"/>
    <n v="0.13"/>
    <n v="48"/>
    <n v="73"/>
    <n v="10"/>
    <n v="7"/>
    <s v="IsConfid"/>
    <s v="ToolConfid"/>
    <n v="1"/>
  </r>
  <r>
    <n v="8995"/>
    <x v="1"/>
    <x v="0"/>
    <n v="8350.41"/>
    <n v="0.22"/>
    <n v="0.12"/>
    <n v="10"/>
    <n v="97"/>
    <n v="19"/>
    <n v="1"/>
    <s v="IsConfid"/>
    <s v="ToolConfid"/>
    <n v="1"/>
  </r>
  <r>
    <n v="10423"/>
    <x v="0"/>
    <x v="0"/>
    <n v="1330.65"/>
    <n v="0.15"/>
    <n v="0.1"/>
    <n v="14"/>
    <n v="68"/>
    <n v="5"/>
    <n v="2"/>
    <s v="IsConfid"/>
    <s v="ToolConfid"/>
    <n v="1"/>
  </r>
  <r>
    <n v="11432"/>
    <x v="3"/>
    <x v="3"/>
    <n v="8207.8700000000008"/>
    <n v="0.1"/>
    <n v="0.15"/>
    <n v="39"/>
    <n v="0"/>
    <n v="7"/>
    <n v="9"/>
    <s v="IsConfid"/>
    <s v="ToolConfid"/>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
  <r>
    <n v="8004"/>
    <x v="0"/>
    <x v="0"/>
    <n v="83964"/>
    <x v="0"/>
    <x v="0"/>
    <x v="0"/>
    <x v="0"/>
    <s v="Long Visit"/>
    <n v="6"/>
    <n v="6"/>
    <n v="6"/>
    <n v="8"/>
    <n v="4345"/>
    <n v="1"/>
  </r>
  <r>
    <n v="8006"/>
    <x v="1"/>
    <x v="0"/>
    <n v="25615"/>
    <x v="1"/>
    <x v="1"/>
    <x v="1"/>
    <x v="1"/>
    <s v="Long Visit"/>
    <n v="54"/>
    <n v="14"/>
    <n v="3"/>
    <n v="6"/>
    <n v="930"/>
    <n v="1"/>
  </r>
  <r>
    <n v="8012"/>
    <x v="2"/>
    <x v="1"/>
    <n v="131093"/>
    <x v="2"/>
    <x v="2"/>
    <x v="2"/>
    <x v="2"/>
    <s v="Long Visit"/>
    <n v="28"/>
    <n v="16"/>
    <n v="5"/>
    <n v="4"/>
    <n v="2946"/>
    <n v="1"/>
  </r>
  <r>
    <n v="8013"/>
    <x v="3"/>
    <x v="1"/>
    <n v="64608"/>
    <x v="0"/>
    <x v="3"/>
    <x v="3"/>
    <x v="3"/>
    <s v="Long Visit"/>
    <n v="81"/>
    <n v="8"/>
    <n v="1"/>
    <n v="2"/>
    <n v="2818"/>
    <n v="1"/>
  </r>
  <r>
    <n v="8014"/>
    <x v="4"/>
    <x v="1"/>
    <n v="148788"/>
    <x v="2"/>
    <x v="4"/>
    <x v="4"/>
    <x v="4"/>
    <s v="Short Visit"/>
    <n v="70"/>
    <n v="16"/>
    <n v="8"/>
    <n v="1"/>
    <n v="3247"/>
    <n v="1"/>
  </r>
  <r>
    <n v="8015"/>
    <x v="2"/>
    <x v="0"/>
    <n v="39192"/>
    <x v="1"/>
    <x v="5"/>
    <x v="5"/>
    <x v="5"/>
    <s v="Short Visit"/>
    <n v="33"/>
    <n v="0"/>
    <n v="1"/>
    <n v="1"/>
    <n v="4474"/>
    <n v="0"/>
  </r>
  <r>
    <n v="8018"/>
    <x v="5"/>
    <x v="0"/>
    <n v="117392"/>
    <x v="2"/>
    <x v="6"/>
    <x v="6"/>
    <x v="6"/>
    <s v="Long Visit"/>
    <n v="92"/>
    <n v="8"/>
    <n v="4"/>
    <n v="6"/>
    <n v="2222"/>
    <n v="1"/>
  </r>
  <r>
    <n v="8019"/>
    <x v="2"/>
    <x v="0"/>
    <n v="69949"/>
    <x v="0"/>
    <x v="7"/>
    <x v="7"/>
    <x v="7"/>
    <s v="Short Visit"/>
    <n v="36"/>
    <n v="7"/>
    <n v="7"/>
    <n v="3"/>
    <n v="3644"/>
    <n v="1"/>
  </r>
  <r>
    <n v="8027"/>
    <x v="6"/>
    <x v="1"/>
    <n v="98311"/>
    <x v="0"/>
    <x v="8"/>
    <x v="8"/>
    <x v="8"/>
    <s v="Long Visit"/>
    <n v="98"/>
    <n v="17"/>
    <n v="6"/>
    <n v="1"/>
    <n v="2688"/>
    <n v="1"/>
  </r>
  <r>
    <n v="8028"/>
    <x v="7"/>
    <x v="0"/>
    <n v="27549"/>
    <x v="1"/>
    <x v="9"/>
    <x v="9"/>
    <x v="9"/>
    <s v="Long Visit"/>
    <n v="92"/>
    <n v="17"/>
    <n v="1"/>
    <n v="3"/>
    <n v="68"/>
    <n v="1"/>
  </r>
  <r>
    <n v="8032"/>
    <x v="8"/>
    <x v="0"/>
    <n v="43958"/>
    <x v="1"/>
    <x v="10"/>
    <x v="10"/>
    <x v="10"/>
    <s v="Medium Visit"/>
    <n v="24"/>
    <n v="10"/>
    <n v="5"/>
    <n v="6"/>
    <n v="4683"/>
    <n v="1"/>
  </r>
  <r>
    <n v="8039"/>
    <x v="9"/>
    <x v="1"/>
    <n v="141835"/>
    <x v="2"/>
    <x v="4"/>
    <x v="11"/>
    <x v="11"/>
    <s v="Short Visit"/>
    <n v="1"/>
    <n v="13"/>
    <n v="0"/>
    <n v="0"/>
    <n v="2885"/>
    <n v="1"/>
  </r>
  <r>
    <n v="8040"/>
    <x v="10"/>
    <x v="0"/>
    <n v="57538"/>
    <x v="0"/>
    <x v="10"/>
    <x v="12"/>
    <x v="12"/>
    <s v="Long Visit"/>
    <n v="13"/>
    <n v="4"/>
    <n v="7"/>
    <n v="3"/>
    <n v="1476"/>
    <n v="1"/>
  </r>
  <r>
    <n v="8041"/>
    <x v="11"/>
    <x v="0"/>
    <n v="25833"/>
    <x v="1"/>
    <x v="8"/>
    <x v="13"/>
    <x v="13"/>
    <s v="Short Visit"/>
    <n v="49"/>
    <n v="14"/>
    <n v="3"/>
    <n v="1"/>
    <n v="3243"/>
    <n v="1"/>
  </r>
  <r>
    <n v="8043"/>
    <x v="12"/>
    <x v="1"/>
    <n v="43386"/>
    <x v="1"/>
    <x v="11"/>
    <x v="14"/>
    <x v="14"/>
    <s v="Long Visit"/>
    <n v="33"/>
    <n v="5"/>
    <n v="9"/>
    <n v="0"/>
    <n v="913"/>
    <n v="0"/>
  </r>
  <r>
    <n v="8045"/>
    <x v="13"/>
    <x v="1"/>
    <n v="120349"/>
    <x v="2"/>
    <x v="6"/>
    <x v="15"/>
    <x v="15"/>
    <s v="Long Visit"/>
    <n v="91"/>
    <n v="15"/>
    <n v="3"/>
    <n v="0"/>
    <n v="284"/>
    <n v="1"/>
  </r>
  <r>
    <n v="8046"/>
    <x v="14"/>
    <x v="0"/>
    <n v="119341"/>
    <x v="2"/>
    <x v="12"/>
    <x v="1"/>
    <x v="16"/>
    <s v="Short Visit"/>
    <n v="38"/>
    <n v="18"/>
    <n v="7"/>
    <n v="1"/>
    <n v="4275"/>
    <n v="1"/>
  </r>
  <r>
    <n v="8049"/>
    <x v="15"/>
    <x v="0"/>
    <n v="127955"/>
    <x v="2"/>
    <x v="13"/>
    <x v="16"/>
    <x v="17"/>
    <s v="Long Visit"/>
    <n v="96"/>
    <n v="17"/>
    <n v="4"/>
    <n v="9"/>
    <n v="3404"/>
    <n v="1"/>
  </r>
  <r>
    <n v="8055"/>
    <x v="16"/>
    <x v="1"/>
    <n v="37667"/>
    <x v="1"/>
    <x v="14"/>
    <x v="17"/>
    <x v="18"/>
    <s v="Short Visit"/>
    <n v="87"/>
    <n v="3"/>
    <n v="8"/>
    <n v="2"/>
    <n v="1977"/>
    <n v="1"/>
  </r>
  <r>
    <n v="8057"/>
    <x v="17"/>
    <x v="0"/>
    <n v="26732"/>
    <x v="1"/>
    <x v="15"/>
    <x v="18"/>
    <x v="19"/>
    <s v="Long Visit"/>
    <n v="68"/>
    <n v="5"/>
    <n v="3"/>
    <n v="0"/>
    <n v="336"/>
    <n v="1"/>
  </r>
  <r>
    <n v="8071"/>
    <x v="8"/>
    <x v="0"/>
    <n v="59865"/>
    <x v="0"/>
    <x v="16"/>
    <x v="19"/>
    <x v="20"/>
    <s v="Medium Visit"/>
    <n v="46"/>
    <n v="4"/>
    <n v="5"/>
    <n v="7"/>
    <n v="558"/>
    <n v="1"/>
  </r>
  <r>
    <n v="8072"/>
    <x v="18"/>
    <x v="1"/>
    <n v="28469"/>
    <x v="1"/>
    <x v="5"/>
    <x v="20"/>
    <x v="21"/>
    <s v="Medium Visit"/>
    <n v="8"/>
    <n v="5"/>
    <n v="5"/>
    <n v="4"/>
    <n v="2761"/>
    <n v="1"/>
  </r>
  <r>
    <n v="8074"/>
    <x v="19"/>
    <x v="0"/>
    <n v="144866"/>
    <x v="2"/>
    <x v="17"/>
    <x v="21"/>
    <x v="22"/>
    <s v="Medium Visit"/>
    <n v="0"/>
    <n v="8"/>
    <n v="1"/>
    <n v="8"/>
    <n v="3483"/>
    <n v="1"/>
  </r>
  <r>
    <n v="8084"/>
    <x v="20"/>
    <x v="1"/>
    <n v="129122"/>
    <x v="2"/>
    <x v="18"/>
    <x v="22"/>
    <x v="9"/>
    <s v="Long Visit"/>
    <n v="59"/>
    <n v="10"/>
    <n v="6"/>
    <n v="5"/>
    <n v="928"/>
    <n v="1"/>
  </r>
  <r>
    <n v="8085"/>
    <x v="21"/>
    <x v="0"/>
    <n v="52259"/>
    <x v="0"/>
    <x v="9"/>
    <x v="23"/>
    <x v="23"/>
    <s v="Long Visit"/>
    <n v="87"/>
    <n v="5"/>
    <n v="1"/>
    <n v="1"/>
    <n v="1884"/>
    <n v="1"/>
  </r>
  <r>
    <n v="8087"/>
    <x v="4"/>
    <x v="0"/>
    <n v="106284"/>
    <x v="2"/>
    <x v="16"/>
    <x v="24"/>
    <x v="24"/>
    <s v="Short Visit"/>
    <n v="38"/>
    <n v="6"/>
    <n v="9"/>
    <n v="9"/>
    <n v="932"/>
    <n v="1"/>
  </r>
  <r>
    <n v="8088"/>
    <x v="1"/>
    <x v="0"/>
    <n v="105227"/>
    <x v="2"/>
    <x v="19"/>
    <x v="25"/>
    <x v="25"/>
    <s v="Medium Visit"/>
    <n v="2"/>
    <n v="15"/>
    <n v="6"/>
    <n v="3"/>
    <n v="3472"/>
    <n v="1"/>
  </r>
  <r>
    <n v="8090"/>
    <x v="22"/>
    <x v="1"/>
    <n v="63560"/>
    <x v="0"/>
    <x v="20"/>
    <x v="26"/>
    <x v="26"/>
    <s v="Long Visit"/>
    <n v="67"/>
    <n v="12"/>
    <n v="5"/>
    <n v="4"/>
    <n v="3897"/>
    <n v="1"/>
  </r>
  <r>
    <n v="8092"/>
    <x v="17"/>
    <x v="1"/>
    <n v="26125"/>
    <x v="1"/>
    <x v="13"/>
    <x v="27"/>
    <x v="27"/>
    <s v="Long Visit"/>
    <n v="66"/>
    <n v="0"/>
    <n v="7"/>
    <n v="8"/>
    <n v="2324"/>
    <n v="1"/>
  </r>
  <r>
    <n v="8094"/>
    <x v="23"/>
    <x v="0"/>
    <n v="24838"/>
    <x v="1"/>
    <x v="16"/>
    <x v="28"/>
    <x v="28"/>
    <s v="Long Visit"/>
    <n v="57"/>
    <n v="15"/>
    <n v="9"/>
    <n v="5"/>
    <n v="3006"/>
    <n v="1"/>
  </r>
  <r>
    <n v="8096"/>
    <x v="22"/>
    <x v="0"/>
    <n v="77429"/>
    <x v="0"/>
    <x v="0"/>
    <x v="29"/>
    <x v="29"/>
    <s v="Medium Visit"/>
    <n v="52"/>
    <n v="11"/>
    <n v="0"/>
    <n v="3"/>
    <n v="3482"/>
    <n v="1"/>
  </r>
  <r>
    <n v="8097"/>
    <x v="24"/>
    <x v="1"/>
    <n v="23134"/>
    <x v="1"/>
    <x v="10"/>
    <x v="30"/>
    <x v="30"/>
    <s v="Short Visit"/>
    <n v="13"/>
    <n v="8"/>
    <n v="7"/>
    <n v="4"/>
    <n v="205"/>
    <n v="1"/>
  </r>
  <r>
    <n v="8102"/>
    <x v="15"/>
    <x v="1"/>
    <n v="53822"/>
    <x v="0"/>
    <x v="21"/>
    <x v="5"/>
    <x v="31"/>
    <s v="Long Visit"/>
    <n v="62"/>
    <n v="9"/>
    <n v="1"/>
    <n v="5"/>
    <n v="1506"/>
    <n v="1"/>
  </r>
  <r>
    <n v="8103"/>
    <x v="12"/>
    <x v="1"/>
    <n v="113513"/>
    <x v="2"/>
    <x v="22"/>
    <x v="31"/>
    <x v="32"/>
    <s v="Long Visit"/>
    <n v="60"/>
    <n v="2"/>
    <n v="4"/>
    <n v="2"/>
    <n v="1821"/>
    <n v="1"/>
  </r>
  <r>
    <n v="8105"/>
    <x v="2"/>
    <x v="1"/>
    <n v="83594"/>
    <x v="0"/>
    <x v="5"/>
    <x v="32"/>
    <x v="33"/>
    <s v="Short Visit"/>
    <n v="36"/>
    <n v="11"/>
    <n v="6"/>
    <n v="5"/>
    <n v="360"/>
    <n v="1"/>
  </r>
  <r>
    <n v="8107"/>
    <x v="7"/>
    <x v="1"/>
    <n v="22669"/>
    <x v="1"/>
    <x v="21"/>
    <x v="33"/>
    <x v="34"/>
    <s v="Long Visit"/>
    <n v="88"/>
    <n v="13"/>
    <n v="4"/>
    <n v="6"/>
    <n v="3502"/>
    <n v="1"/>
  </r>
  <r>
    <n v="8117"/>
    <x v="25"/>
    <x v="1"/>
    <n v="36289"/>
    <x v="1"/>
    <x v="23"/>
    <x v="34"/>
    <x v="35"/>
    <s v="Long Visit"/>
    <n v="57"/>
    <n v="6"/>
    <n v="9"/>
    <n v="9"/>
    <n v="4669"/>
    <n v="1"/>
  </r>
  <r>
    <n v="8118"/>
    <x v="8"/>
    <x v="0"/>
    <n v="44406"/>
    <x v="1"/>
    <x v="24"/>
    <x v="35"/>
    <x v="36"/>
    <s v="Long Visit"/>
    <n v="39"/>
    <n v="10"/>
    <n v="0"/>
    <n v="9"/>
    <n v="2597"/>
    <n v="1"/>
  </r>
  <r>
    <n v="8121"/>
    <x v="26"/>
    <x v="0"/>
    <n v="32873"/>
    <x v="1"/>
    <x v="25"/>
    <x v="36"/>
    <x v="37"/>
    <s v="Long Visit"/>
    <n v="90"/>
    <n v="14"/>
    <n v="6"/>
    <n v="7"/>
    <n v="3336"/>
    <n v="1"/>
  </r>
  <r>
    <n v="8122"/>
    <x v="12"/>
    <x v="0"/>
    <n v="145812"/>
    <x v="2"/>
    <x v="10"/>
    <x v="37"/>
    <x v="38"/>
    <s v="Medium Visit"/>
    <n v="14"/>
    <n v="1"/>
    <n v="6"/>
    <n v="2"/>
    <n v="4108"/>
    <n v="1"/>
  </r>
  <r>
    <n v="8123"/>
    <x v="13"/>
    <x v="1"/>
    <n v="102048"/>
    <x v="2"/>
    <x v="26"/>
    <x v="38"/>
    <x v="39"/>
    <s v="Medium Visit"/>
    <n v="84"/>
    <n v="11"/>
    <n v="7"/>
    <n v="9"/>
    <n v="3310"/>
    <n v="1"/>
  </r>
  <r>
    <n v="8126"/>
    <x v="27"/>
    <x v="0"/>
    <n v="40710"/>
    <x v="1"/>
    <x v="5"/>
    <x v="39"/>
    <x v="40"/>
    <s v="Medium Visit"/>
    <n v="4"/>
    <n v="9"/>
    <n v="9"/>
    <n v="4"/>
    <n v="4652"/>
    <n v="1"/>
  </r>
  <r>
    <n v="8128"/>
    <x v="28"/>
    <x v="1"/>
    <n v="33448"/>
    <x v="1"/>
    <x v="10"/>
    <x v="40"/>
    <x v="41"/>
    <s v="Short Visit"/>
    <n v="69"/>
    <n v="7"/>
    <n v="8"/>
    <n v="3"/>
    <n v="596"/>
    <n v="1"/>
  </r>
  <r>
    <n v="8130"/>
    <x v="2"/>
    <x v="0"/>
    <n v="93158"/>
    <x v="0"/>
    <x v="2"/>
    <x v="41"/>
    <x v="42"/>
    <s v="Medium Visit"/>
    <n v="27"/>
    <n v="19"/>
    <n v="6"/>
    <n v="5"/>
    <n v="2530"/>
    <n v="1"/>
  </r>
  <r>
    <n v="8131"/>
    <x v="11"/>
    <x v="0"/>
    <n v="126384"/>
    <x v="2"/>
    <x v="7"/>
    <x v="42"/>
    <x v="43"/>
    <s v="Long Visit"/>
    <n v="53"/>
    <n v="4"/>
    <n v="6"/>
    <n v="0"/>
    <n v="3755"/>
    <n v="1"/>
  </r>
  <r>
    <n v="8142"/>
    <x v="21"/>
    <x v="0"/>
    <n v="78186"/>
    <x v="0"/>
    <x v="21"/>
    <x v="43"/>
    <x v="44"/>
    <s v="Long Visit"/>
    <n v="12"/>
    <n v="19"/>
    <n v="0"/>
    <n v="1"/>
    <n v="1913"/>
    <n v="0"/>
  </r>
  <r>
    <n v="8147"/>
    <x v="21"/>
    <x v="1"/>
    <n v="126887"/>
    <x v="2"/>
    <x v="27"/>
    <x v="44"/>
    <x v="45"/>
    <s v="Long Visit"/>
    <n v="58"/>
    <n v="7"/>
    <n v="7"/>
    <n v="9"/>
    <n v="3096"/>
    <n v="1"/>
  </r>
  <r>
    <n v="8149"/>
    <x v="29"/>
    <x v="1"/>
    <n v="45476"/>
    <x v="1"/>
    <x v="7"/>
    <x v="45"/>
    <x v="46"/>
    <s v="Medium Visit"/>
    <n v="71"/>
    <n v="14"/>
    <n v="6"/>
    <n v="7"/>
    <n v="252"/>
    <n v="1"/>
  </r>
  <r>
    <n v="8156"/>
    <x v="30"/>
    <x v="1"/>
    <n v="51653"/>
    <x v="0"/>
    <x v="6"/>
    <x v="46"/>
    <x v="47"/>
    <s v="Long Visit"/>
    <n v="57"/>
    <n v="18"/>
    <n v="4"/>
    <n v="4"/>
    <n v="2699"/>
    <n v="1"/>
  </r>
  <r>
    <n v="8159"/>
    <x v="31"/>
    <x v="1"/>
    <n v="39629"/>
    <x v="1"/>
    <x v="28"/>
    <x v="47"/>
    <x v="48"/>
    <s v="Medium Visit"/>
    <n v="92"/>
    <n v="11"/>
    <n v="1"/>
    <n v="5"/>
    <n v="2503"/>
    <n v="1"/>
  </r>
  <r>
    <n v="8165"/>
    <x v="32"/>
    <x v="0"/>
    <n v="39322"/>
    <x v="1"/>
    <x v="26"/>
    <x v="48"/>
    <x v="49"/>
    <s v="Long Visit"/>
    <n v="19"/>
    <n v="8"/>
    <n v="5"/>
    <n v="0"/>
    <n v="1775"/>
    <n v="1"/>
  </r>
  <r>
    <n v="8167"/>
    <x v="22"/>
    <x v="0"/>
    <n v="135637"/>
    <x v="2"/>
    <x v="8"/>
    <x v="49"/>
    <x v="50"/>
    <s v="Long Visit"/>
    <n v="25"/>
    <n v="11"/>
    <n v="8"/>
    <n v="7"/>
    <n v="927"/>
    <n v="1"/>
  </r>
  <r>
    <n v="8171"/>
    <x v="3"/>
    <x v="1"/>
    <n v="122379"/>
    <x v="2"/>
    <x v="29"/>
    <x v="50"/>
    <x v="51"/>
    <s v="Short Visit"/>
    <n v="81"/>
    <n v="4"/>
    <n v="6"/>
    <n v="0"/>
    <n v="3396"/>
    <n v="1"/>
  </r>
  <r>
    <n v="8172"/>
    <x v="33"/>
    <x v="1"/>
    <n v="32651"/>
    <x v="1"/>
    <x v="30"/>
    <x v="51"/>
    <x v="52"/>
    <s v="Long Visit"/>
    <n v="58"/>
    <n v="11"/>
    <n v="2"/>
    <n v="0"/>
    <n v="3426"/>
    <n v="1"/>
  </r>
  <r>
    <n v="8173"/>
    <x v="34"/>
    <x v="0"/>
    <n v="45966"/>
    <x v="1"/>
    <x v="9"/>
    <x v="52"/>
    <x v="53"/>
    <s v="Medium Visit"/>
    <n v="2"/>
    <n v="11"/>
    <n v="0"/>
    <n v="2"/>
    <n v="3060"/>
    <n v="1"/>
  </r>
  <r>
    <n v="8181"/>
    <x v="35"/>
    <x v="0"/>
    <n v="59727"/>
    <x v="0"/>
    <x v="29"/>
    <x v="53"/>
    <x v="33"/>
    <s v="Short Visit"/>
    <n v="29"/>
    <n v="14"/>
    <n v="1"/>
    <n v="9"/>
    <n v="126"/>
    <n v="1"/>
  </r>
  <r>
    <n v="8190"/>
    <x v="15"/>
    <x v="0"/>
    <n v="23476"/>
    <x v="1"/>
    <x v="31"/>
    <x v="54"/>
    <x v="54"/>
    <s v="Long Visit"/>
    <n v="56"/>
    <n v="7"/>
    <n v="7"/>
    <n v="2"/>
    <n v="1278"/>
    <n v="1"/>
  </r>
  <r>
    <n v="8194"/>
    <x v="29"/>
    <x v="1"/>
    <n v="111269"/>
    <x v="2"/>
    <x v="4"/>
    <x v="55"/>
    <x v="55"/>
    <s v="Long Visit"/>
    <n v="16"/>
    <n v="10"/>
    <n v="3"/>
    <n v="2"/>
    <n v="1529"/>
    <n v="1"/>
  </r>
  <r>
    <n v="8195"/>
    <x v="9"/>
    <x v="0"/>
    <n v="97994"/>
    <x v="0"/>
    <x v="1"/>
    <x v="56"/>
    <x v="56"/>
    <s v="Long Visit"/>
    <n v="52"/>
    <n v="7"/>
    <n v="5"/>
    <n v="1"/>
    <n v="50"/>
    <n v="1"/>
  </r>
  <r>
    <n v="8196"/>
    <x v="33"/>
    <x v="0"/>
    <n v="82878"/>
    <x v="0"/>
    <x v="21"/>
    <x v="57"/>
    <x v="57"/>
    <s v="Medium Visit"/>
    <n v="39"/>
    <n v="5"/>
    <n v="0"/>
    <n v="0"/>
    <n v="844"/>
    <n v="0"/>
  </r>
  <r>
    <n v="8201"/>
    <x v="20"/>
    <x v="0"/>
    <n v="88560"/>
    <x v="0"/>
    <x v="16"/>
    <x v="58"/>
    <x v="58"/>
    <s v="Long Visit"/>
    <n v="71"/>
    <n v="7"/>
    <n v="1"/>
    <n v="2"/>
    <n v="1764"/>
    <n v="1"/>
  </r>
  <r>
    <n v="8203"/>
    <x v="13"/>
    <x v="1"/>
    <n v="82968"/>
    <x v="0"/>
    <x v="32"/>
    <x v="59"/>
    <x v="59"/>
    <s v="Medium Visit"/>
    <n v="29"/>
    <n v="9"/>
    <n v="2"/>
    <n v="3"/>
    <n v="1014"/>
    <n v="1"/>
  </r>
  <r>
    <n v="8208"/>
    <x v="7"/>
    <x v="0"/>
    <n v="26577"/>
    <x v="1"/>
    <x v="2"/>
    <x v="60"/>
    <x v="60"/>
    <s v="Medium Visit"/>
    <n v="56"/>
    <n v="3"/>
    <n v="5"/>
    <n v="8"/>
    <n v="446"/>
    <n v="1"/>
  </r>
  <r>
    <n v="8209"/>
    <x v="2"/>
    <x v="0"/>
    <n v="103171"/>
    <x v="2"/>
    <x v="16"/>
    <x v="61"/>
    <x v="61"/>
    <s v="Medium Visit"/>
    <n v="69"/>
    <n v="15"/>
    <n v="0"/>
    <n v="1"/>
    <n v="3419"/>
    <n v="1"/>
  </r>
  <r>
    <n v="8211"/>
    <x v="34"/>
    <x v="0"/>
    <n v="23870"/>
    <x v="1"/>
    <x v="33"/>
    <x v="62"/>
    <x v="62"/>
    <s v="Long Visit"/>
    <n v="76"/>
    <n v="8"/>
    <n v="4"/>
    <n v="6"/>
    <n v="3153"/>
    <n v="1"/>
  </r>
  <r>
    <n v="8213"/>
    <x v="2"/>
    <x v="0"/>
    <n v="75329"/>
    <x v="0"/>
    <x v="34"/>
    <x v="63"/>
    <x v="63"/>
    <s v="Long Visit"/>
    <n v="24"/>
    <n v="11"/>
    <n v="7"/>
    <n v="0"/>
    <n v="1720"/>
    <n v="1"/>
  </r>
  <r>
    <n v="8215"/>
    <x v="9"/>
    <x v="0"/>
    <n v="135049"/>
    <x v="2"/>
    <x v="1"/>
    <x v="64"/>
    <x v="64"/>
    <s v="Long Visit"/>
    <n v="72"/>
    <n v="3"/>
    <n v="7"/>
    <n v="9"/>
    <n v="2689"/>
    <n v="1"/>
  </r>
  <r>
    <n v="8221"/>
    <x v="5"/>
    <x v="1"/>
    <n v="33003"/>
    <x v="1"/>
    <x v="35"/>
    <x v="65"/>
    <x v="65"/>
    <s v="Long Visit"/>
    <n v="89"/>
    <n v="7"/>
    <n v="2"/>
    <n v="4"/>
    <n v="3873"/>
    <n v="1"/>
  </r>
  <r>
    <n v="8222"/>
    <x v="10"/>
    <x v="0"/>
    <n v="128793"/>
    <x v="2"/>
    <x v="11"/>
    <x v="66"/>
    <x v="66"/>
    <s v="Long Visit"/>
    <n v="35"/>
    <n v="4"/>
    <n v="6"/>
    <n v="0"/>
    <n v="2220"/>
    <n v="1"/>
  </r>
  <r>
    <n v="8223"/>
    <x v="31"/>
    <x v="0"/>
    <n v="79538"/>
    <x v="0"/>
    <x v="36"/>
    <x v="67"/>
    <x v="67"/>
    <s v="Long Visit"/>
    <n v="35"/>
    <n v="7"/>
    <n v="2"/>
    <n v="8"/>
    <n v="534"/>
    <n v="1"/>
  </r>
  <r>
    <n v="8224"/>
    <x v="11"/>
    <x v="0"/>
    <n v="52089"/>
    <x v="0"/>
    <x v="37"/>
    <x v="68"/>
    <x v="68"/>
    <s v="Medium Visit"/>
    <n v="74"/>
    <n v="16"/>
    <n v="2"/>
    <n v="1"/>
    <n v="3945"/>
    <n v="1"/>
  </r>
  <r>
    <n v="8227"/>
    <x v="31"/>
    <x v="1"/>
    <n v="102318"/>
    <x v="2"/>
    <x v="0"/>
    <x v="69"/>
    <x v="69"/>
    <s v="Long Visit"/>
    <n v="93"/>
    <n v="19"/>
    <n v="0"/>
    <n v="3"/>
    <n v="783"/>
    <n v="1"/>
  </r>
  <r>
    <n v="8228"/>
    <x v="5"/>
    <x v="1"/>
    <n v="50029"/>
    <x v="0"/>
    <x v="13"/>
    <x v="70"/>
    <x v="69"/>
    <s v="Long Visit"/>
    <n v="88"/>
    <n v="10"/>
    <n v="3"/>
    <n v="2"/>
    <n v="3651"/>
    <n v="1"/>
  </r>
  <r>
    <n v="8229"/>
    <x v="5"/>
    <x v="1"/>
    <n v="99023"/>
    <x v="0"/>
    <x v="1"/>
    <x v="3"/>
    <x v="70"/>
    <s v="Short Visit"/>
    <n v="15"/>
    <n v="12"/>
    <n v="3"/>
    <n v="0"/>
    <n v="625"/>
    <n v="1"/>
  </r>
  <r>
    <n v="8232"/>
    <x v="11"/>
    <x v="0"/>
    <n v="133037"/>
    <x v="2"/>
    <x v="31"/>
    <x v="71"/>
    <x v="71"/>
    <s v="Long Visit"/>
    <n v="46"/>
    <n v="2"/>
    <n v="4"/>
    <n v="6"/>
    <n v="3182"/>
    <n v="1"/>
  </r>
  <r>
    <n v="8244"/>
    <x v="36"/>
    <x v="0"/>
    <n v="49715"/>
    <x v="1"/>
    <x v="36"/>
    <x v="36"/>
    <x v="72"/>
    <s v="Long Visit"/>
    <n v="76"/>
    <n v="8"/>
    <n v="8"/>
    <n v="4"/>
    <n v="3953"/>
    <n v="1"/>
  </r>
  <r>
    <n v="8246"/>
    <x v="37"/>
    <x v="1"/>
    <n v="76922"/>
    <x v="0"/>
    <x v="17"/>
    <x v="72"/>
    <x v="73"/>
    <s v="Short Visit"/>
    <n v="80"/>
    <n v="18"/>
    <n v="8"/>
    <n v="8"/>
    <n v="865"/>
    <n v="1"/>
  </r>
  <r>
    <n v="8251"/>
    <x v="35"/>
    <x v="1"/>
    <n v="20823"/>
    <x v="1"/>
    <x v="36"/>
    <x v="73"/>
    <x v="74"/>
    <s v="Short Visit"/>
    <n v="68"/>
    <n v="15"/>
    <n v="0"/>
    <n v="9"/>
    <n v="1817"/>
    <n v="1"/>
  </r>
  <r>
    <n v="8254"/>
    <x v="28"/>
    <x v="1"/>
    <n v="27084"/>
    <x v="1"/>
    <x v="38"/>
    <x v="74"/>
    <x v="75"/>
    <s v="Long Visit"/>
    <n v="96"/>
    <n v="17"/>
    <n v="4"/>
    <n v="7"/>
    <n v="3689"/>
    <n v="1"/>
  </r>
  <r>
    <n v="8255"/>
    <x v="38"/>
    <x v="0"/>
    <n v="97991"/>
    <x v="0"/>
    <x v="13"/>
    <x v="75"/>
    <x v="76"/>
    <s v="Long Visit"/>
    <n v="33"/>
    <n v="18"/>
    <n v="3"/>
    <n v="0"/>
    <n v="2632"/>
    <n v="1"/>
  </r>
  <r>
    <n v="8256"/>
    <x v="39"/>
    <x v="0"/>
    <n v="30607"/>
    <x v="1"/>
    <x v="25"/>
    <x v="76"/>
    <x v="77"/>
    <s v="Long Visit"/>
    <n v="26"/>
    <n v="15"/>
    <n v="8"/>
    <n v="7"/>
    <n v="474"/>
    <n v="1"/>
  </r>
  <r>
    <n v="8260"/>
    <x v="40"/>
    <x v="1"/>
    <n v="134540"/>
    <x v="2"/>
    <x v="30"/>
    <x v="77"/>
    <x v="78"/>
    <s v="Long Visit"/>
    <n v="34"/>
    <n v="18"/>
    <n v="6"/>
    <n v="9"/>
    <n v="3545"/>
    <n v="1"/>
  </r>
  <r>
    <n v="8261"/>
    <x v="10"/>
    <x v="0"/>
    <n v="96355"/>
    <x v="0"/>
    <x v="30"/>
    <x v="78"/>
    <x v="79"/>
    <s v="Long Visit"/>
    <n v="19"/>
    <n v="18"/>
    <n v="1"/>
    <n v="6"/>
    <n v="3300"/>
    <n v="1"/>
  </r>
  <r>
    <n v="8267"/>
    <x v="41"/>
    <x v="1"/>
    <n v="147182"/>
    <x v="2"/>
    <x v="7"/>
    <x v="79"/>
    <x v="80"/>
    <s v="Medium Visit"/>
    <n v="50"/>
    <n v="12"/>
    <n v="4"/>
    <n v="1"/>
    <n v="1447"/>
    <n v="1"/>
  </r>
  <r>
    <n v="8271"/>
    <x v="9"/>
    <x v="1"/>
    <n v="31945"/>
    <x v="1"/>
    <x v="14"/>
    <x v="80"/>
    <x v="81"/>
    <s v="Long Visit"/>
    <n v="44"/>
    <n v="9"/>
    <n v="9"/>
    <n v="3"/>
    <n v="2693"/>
    <n v="1"/>
  </r>
  <r>
    <n v="8284"/>
    <x v="42"/>
    <x v="0"/>
    <n v="24601"/>
    <x v="1"/>
    <x v="19"/>
    <x v="81"/>
    <x v="82"/>
    <s v="Long Visit"/>
    <n v="11"/>
    <n v="4"/>
    <n v="9"/>
    <n v="0"/>
    <n v="184"/>
    <n v="1"/>
  </r>
  <r>
    <n v="8290"/>
    <x v="23"/>
    <x v="0"/>
    <n v="71337"/>
    <x v="0"/>
    <x v="24"/>
    <x v="82"/>
    <x v="83"/>
    <s v="Long Visit"/>
    <n v="10"/>
    <n v="11"/>
    <n v="9"/>
    <n v="1"/>
    <n v="4697"/>
    <n v="1"/>
  </r>
  <r>
    <n v="8291"/>
    <x v="28"/>
    <x v="1"/>
    <n v="60204"/>
    <x v="0"/>
    <x v="23"/>
    <x v="64"/>
    <x v="84"/>
    <s v="Short Visit"/>
    <n v="37"/>
    <n v="14"/>
    <n v="4"/>
    <n v="6"/>
    <n v="3949"/>
    <n v="1"/>
  </r>
  <r>
    <n v="8298"/>
    <x v="25"/>
    <x v="0"/>
    <n v="60854"/>
    <x v="0"/>
    <x v="31"/>
    <x v="83"/>
    <x v="85"/>
    <s v="Short Visit"/>
    <n v="79"/>
    <n v="13"/>
    <n v="4"/>
    <n v="6"/>
    <n v="2142"/>
    <n v="1"/>
  </r>
  <r>
    <n v="8302"/>
    <x v="24"/>
    <x v="0"/>
    <n v="51558"/>
    <x v="0"/>
    <x v="15"/>
    <x v="84"/>
    <x v="86"/>
    <s v="Medium Visit"/>
    <n v="43"/>
    <n v="17"/>
    <n v="2"/>
    <n v="5"/>
    <n v="4118"/>
    <n v="1"/>
  </r>
  <r>
    <n v="8304"/>
    <x v="41"/>
    <x v="0"/>
    <n v="81794"/>
    <x v="0"/>
    <x v="13"/>
    <x v="85"/>
    <x v="87"/>
    <s v="Long Visit"/>
    <n v="75"/>
    <n v="8"/>
    <n v="5"/>
    <n v="3"/>
    <n v="859"/>
    <n v="1"/>
  </r>
  <r>
    <n v="8310"/>
    <x v="39"/>
    <x v="1"/>
    <n v="79261"/>
    <x v="0"/>
    <x v="39"/>
    <x v="86"/>
    <x v="88"/>
    <s v="Long Visit"/>
    <n v="76"/>
    <n v="12"/>
    <n v="1"/>
    <n v="7"/>
    <n v="2602"/>
    <n v="1"/>
  </r>
  <r>
    <n v="8313"/>
    <x v="36"/>
    <x v="1"/>
    <n v="38065"/>
    <x v="1"/>
    <x v="13"/>
    <x v="87"/>
    <x v="89"/>
    <s v="Long Visit"/>
    <n v="10"/>
    <n v="1"/>
    <n v="9"/>
    <n v="6"/>
    <n v="1269"/>
    <n v="1"/>
  </r>
  <r>
    <n v="8316"/>
    <x v="3"/>
    <x v="1"/>
    <n v="107191"/>
    <x v="2"/>
    <x v="30"/>
    <x v="88"/>
    <x v="90"/>
    <s v="Short Visit"/>
    <n v="98"/>
    <n v="6"/>
    <n v="2"/>
    <n v="2"/>
    <n v="507"/>
    <n v="0"/>
  </r>
  <r>
    <n v="8317"/>
    <x v="37"/>
    <x v="0"/>
    <n v="30006"/>
    <x v="1"/>
    <x v="16"/>
    <x v="89"/>
    <x v="91"/>
    <s v="Long Visit"/>
    <n v="38"/>
    <n v="8"/>
    <n v="4"/>
    <n v="6"/>
    <n v="2907"/>
    <n v="1"/>
  </r>
  <r>
    <n v="8318"/>
    <x v="4"/>
    <x v="0"/>
    <n v="91819"/>
    <x v="0"/>
    <x v="20"/>
    <x v="88"/>
    <x v="92"/>
    <s v="Long Visit"/>
    <n v="62"/>
    <n v="6"/>
    <n v="6"/>
    <n v="7"/>
    <n v="1655"/>
    <n v="1"/>
  </r>
  <r>
    <n v="8322"/>
    <x v="15"/>
    <x v="0"/>
    <n v="116319"/>
    <x v="2"/>
    <x v="22"/>
    <x v="90"/>
    <x v="93"/>
    <s v="Short Visit"/>
    <n v="50"/>
    <n v="0"/>
    <n v="8"/>
    <n v="6"/>
    <n v="3625"/>
    <n v="1"/>
  </r>
  <r>
    <n v="8323"/>
    <x v="43"/>
    <x v="1"/>
    <n v="70393"/>
    <x v="0"/>
    <x v="21"/>
    <x v="91"/>
    <x v="94"/>
    <s v="Long Visit"/>
    <n v="52"/>
    <n v="19"/>
    <n v="0"/>
    <n v="5"/>
    <n v="2268"/>
    <n v="1"/>
  </r>
  <r>
    <n v="8325"/>
    <x v="40"/>
    <x v="1"/>
    <n v="121341"/>
    <x v="2"/>
    <x v="18"/>
    <x v="11"/>
    <x v="95"/>
    <s v="Short Visit"/>
    <n v="64"/>
    <n v="1"/>
    <n v="0"/>
    <n v="5"/>
    <n v="1301"/>
    <n v="1"/>
  </r>
  <r>
    <n v="8327"/>
    <x v="44"/>
    <x v="0"/>
    <n v="32417"/>
    <x v="1"/>
    <x v="40"/>
    <x v="92"/>
    <x v="96"/>
    <s v="Long Visit"/>
    <n v="11"/>
    <n v="9"/>
    <n v="6"/>
    <n v="8"/>
    <n v="1607"/>
    <n v="1"/>
  </r>
  <r>
    <n v="8330"/>
    <x v="43"/>
    <x v="1"/>
    <n v="48896"/>
    <x v="1"/>
    <x v="34"/>
    <x v="93"/>
    <x v="97"/>
    <s v="Medium Visit"/>
    <n v="71"/>
    <n v="7"/>
    <n v="7"/>
    <n v="1"/>
    <n v="4625"/>
    <n v="1"/>
  </r>
  <r>
    <n v="8332"/>
    <x v="24"/>
    <x v="1"/>
    <n v="122979"/>
    <x v="2"/>
    <x v="20"/>
    <x v="94"/>
    <x v="98"/>
    <s v="Medium Visit"/>
    <n v="94"/>
    <n v="5"/>
    <n v="0"/>
    <n v="8"/>
    <n v="4552"/>
    <n v="1"/>
  </r>
  <r>
    <n v="8336"/>
    <x v="39"/>
    <x v="0"/>
    <n v="81330"/>
    <x v="0"/>
    <x v="41"/>
    <x v="78"/>
    <x v="99"/>
    <s v="Long Visit"/>
    <n v="84"/>
    <n v="16"/>
    <n v="1"/>
    <n v="0"/>
    <n v="4558"/>
    <n v="1"/>
  </r>
  <r>
    <n v="8339"/>
    <x v="28"/>
    <x v="0"/>
    <n v="120972"/>
    <x v="2"/>
    <x v="34"/>
    <x v="95"/>
    <x v="6"/>
    <s v="Long Visit"/>
    <n v="62"/>
    <n v="1"/>
    <n v="1"/>
    <n v="6"/>
    <n v="201"/>
    <n v="1"/>
  </r>
  <r>
    <n v="8343"/>
    <x v="10"/>
    <x v="1"/>
    <n v="133216"/>
    <x v="2"/>
    <x v="29"/>
    <x v="96"/>
    <x v="100"/>
    <s v="Long Visit"/>
    <n v="42"/>
    <n v="10"/>
    <n v="5"/>
    <n v="9"/>
    <n v="4101"/>
    <n v="1"/>
  </r>
  <r>
    <n v="8344"/>
    <x v="45"/>
    <x v="0"/>
    <n v="135845"/>
    <x v="2"/>
    <x v="42"/>
    <x v="97"/>
    <x v="101"/>
    <s v="Short Visit"/>
    <n v="75"/>
    <n v="13"/>
    <n v="2"/>
    <n v="1"/>
    <n v="1558"/>
    <n v="0"/>
  </r>
  <r>
    <n v="8346"/>
    <x v="28"/>
    <x v="0"/>
    <n v="85391"/>
    <x v="0"/>
    <x v="7"/>
    <x v="98"/>
    <x v="102"/>
    <s v="Long Visit"/>
    <n v="44"/>
    <n v="9"/>
    <n v="0"/>
    <n v="1"/>
    <n v="3004"/>
    <n v="1"/>
  </r>
  <r>
    <n v="8348"/>
    <x v="30"/>
    <x v="1"/>
    <n v="143546"/>
    <x v="2"/>
    <x v="34"/>
    <x v="99"/>
    <x v="103"/>
    <s v="Medium Visit"/>
    <n v="53"/>
    <n v="10"/>
    <n v="3"/>
    <n v="9"/>
    <n v="628"/>
    <n v="1"/>
  </r>
  <r>
    <n v="8350"/>
    <x v="6"/>
    <x v="1"/>
    <n v="83411"/>
    <x v="0"/>
    <x v="41"/>
    <x v="25"/>
    <x v="104"/>
    <s v="Long Visit"/>
    <n v="6"/>
    <n v="15"/>
    <n v="9"/>
    <n v="5"/>
    <n v="1365"/>
    <n v="1"/>
  </r>
  <r>
    <n v="8351"/>
    <x v="44"/>
    <x v="0"/>
    <n v="129437"/>
    <x v="2"/>
    <x v="8"/>
    <x v="100"/>
    <x v="105"/>
    <s v="Long Visit"/>
    <n v="35"/>
    <n v="7"/>
    <n v="0"/>
    <n v="4"/>
    <n v="2390"/>
    <n v="1"/>
  </r>
  <r>
    <n v="8355"/>
    <x v="22"/>
    <x v="0"/>
    <n v="20888"/>
    <x v="1"/>
    <x v="38"/>
    <x v="101"/>
    <x v="31"/>
    <s v="Long Visit"/>
    <n v="11"/>
    <n v="16"/>
    <n v="3"/>
    <n v="8"/>
    <n v="4516"/>
    <n v="1"/>
  </r>
  <r>
    <n v="8359"/>
    <x v="29"/>
    <x v="1"/>
    <n v="49424"/>
    <x v="1"/>
    <x v="20"/>
    <x v="102"/>
    <x v="106"/>
    <s v="Medium Visit"/>
    <n v="55"/>
    <n v="0"/>
    <n v="8"/>
    <n v="2"/>
    <n v="303"/>
    <n v="1"/>
  </r>
  <r>
    <n v="8363"/>
    <x v="39"/>
    <x v="0"/>
    <n v="31075"/>
    <x v="1"/>
    <x v="15"/>
    <x v="103"/>
    <x v="107"/>
    <s v="Medium Visit"/>
    <n v="56"/>
    <n v="15"/>
    <n v="9"/>
    <n v="8"/>
    <n v="73"/>
    <n v="1"/>
  </r>
  <r>
    <n v="8366"/>
    <x v="39"/>
    <x v="1"/>
    <n v="136752"/>
    <x v="2"/>
    <x v="27"/>
    <x v="16"/>
    <x v="108"/>
    <s v="Medium Visit"/>
    <n v="69"/>
    <n v="6"/>
    <n v="2"/>
    <n v="6"/>
    <n v="1939"/>
    <n v="1"/>
  </r>
  <r>
    <n v="8371"/>
    <x v="43"/>
    <x v="0"/>
    <n v="23569"/>
    <x v="1"/>
    <x v="22"/>
    <x v="104"/>
    <x v="109"/>
    <s v="Long Visit"/>
    <n v="11"/>
    <n v="16"/>
    <n v="8"/>
    <n v="3"/>
    <n v="1806"/>
    <n v="1"/>
  </r>
  <r>
    <n v="8378"/>
    <x v="44"/>
    <x v="0"/>
    <n v="112174"/>
    <x v="2"/>
    <x v="28"/>
    <x v="105"/>
    <x v="110"/>
    <s v="Short Visit"/>
    <n v="86"/>
    <n v="5"/>
    <n v="4"/>
    <n v="4"/>
    <n v="1278"/>
    <n v="1"/>
  </r>
  <r>
    <n v="8381"/>
    <x v="24"/>
    <x v="1"/>
    <n v="107151"/>
    <x v="2"/>
    <x v="2"/>
    <x v="106"/>
    <x v="111"/>
    <s v="Short Visit"/>
    <n v="3"/>
    <n v="9"/>
    <n v="6"/>
    <n v="3"/>
    <n v="3124"/>
    <n v="1"/>
  </r>
  <r>
    <n v="8387"/>
    <x v="42"/>
    <x v="1"/>
    <n v="135513"/>
    <x v="2"/>
    <x v="43"/>
    <x v="46"/>
    <x v="28"/>
    <s v="Long Visit"/>
    <n v="39"/>
    <n v="13"/>
    <n v="4"/>
    <n v="4"/>
    <n v="2001"/>
    <n v="1"/>
  </r>
  <r>
    <n v="8395"/>
    <x v="10"/>
    <x v="1"/>
    <n v="21310"/>
    <x v="1"/>
    <x v="1"/>
    <x v="107"/>
    <x v="112"/>
    <s v="Long Visit"/>
    <n v="17"/>
    <n v="2"/>
    <n v="7"/>
    <n v="2"/>
    <n v="2905"/>
    <n v="1"/>
  </r>
  <r>
    <n v="8396"/>
    <x v="19"/>
    <x v="0"/>
    <n v="146913"/>
    <x v="2"/>
    <x v="26"/>
    <x v="36"/>
    <x v="113"/>
    <s v="Medium Visit"/>
    <n v="80"/>
    <n v="12"/>
    <n v="1"/>
    <n v="9"/>
    <n v="2392"/>
    <n v="1"/>
  </r>
  <r>
    <n v="8398"/>
    <x v="8"/>
    <x v="0"/>
    <n v="133769"/>
    <x v="2"/>
    <x v="39"/>
    <x v="104"/>
    <x v="114"/>
    <s v="Long Visit"/>
    <n v="66"/>
    <n v="16"/>
    <n v="8"/>
    <n v="2"/>
    <n v="2107"/>
    <n v="1"/>
  </r>
  <r>
    <n v="8403"/>
    <x v="2"/>
    <x v="1"/>
    <n v="28906"/>
    <x v="1"/>
    <x v="26"/>
    <x v="108"/>
    <x v="115"/>
    <s v="Long Visit"/>
    <n v="46"/>
    <n v="14"/>
    <n v="4"/>
    <n v="7"/>
    <n v="450"/>
    <n v="1"/>
  </r>
  <r>
    <n v="8408"/>
    <x v="32"/>
    <x v="1"/>
    <n v="149080"/>
    <x v="2"/>
    <x v="11"/>
    <x v="109"/>
    <x v="116"/>
    <s v="Long Visit"/>
    <n v="11"/>
    <n v="13"/>
    <n v="7"/>
    <n v="4"/>
    <n v="4301"/>
    <n v="1"/>
  </r>
  <r>
    <n v="8411"/>
    <x v="8"/>
    <x v="0"/>
    <n v="133591"/>
    <x v="2"/>
    <x v="7"/>
    <x v="110"/>
    <x v="101"/>
    <s v="Short Visit"/>
    <n v="55"/>
    <n v="3"/>
    <n v="0"/>
    <n v="0"/>
    <n v="1238"/>
    <n v="1"/>
  </r>
  <r>
    <n v="8413"/>
    <x v="23"/>
    <x v="1"/>
    <n v="43684"/>
    <x v="1"/>
    <x v="27"/>
    <x v="30"/>
    <x v="99"/>
    <s v="Long Visit"/>
    <n v="50"/>
    <n v="8"/>
    <n v="0"/>
    <n v="7"/>
    <n v="2658"/>
    <n v="1"/>
  </r>
  <r>
    <n v="8415"/>
    <x v="4"/>
    <x v="1"/>
    <n v="65330"/>
    <x v="0"/>
    <x v="31"/>
    <x v="111"/>
    <x v="117"/>
    <s v="Long Visit"/>
    <n v="72"/>
    <n v="0"/>
    <n v="6"/>
    <n v="3"/>
    <n v="3890"/>
    <n v="1"/>
  </r>
  <r>
    <n v="8416"/>
    <x v="39"/>
    <x v="0"/>
    <n v="128214"/>
    <x v="2"/>
    <x v="31"/>
    <x v="112"/>
    <x v="118"/>
    <s v="Medium Visit"/>
    <n v="65"/>
    <n v="11"/>
    <n v="1"/>
    <n v="1"/>
    <n v="3990"/>
    <n v="1"/>
  </r>
  <r>
    <n v="8419"/>
    <x v="28"/>
    <x v="0"/>
    <n v="112203"/>
    <x v="2"/>
    <x v="1"/>
    <x v="113"/>
    <x v="119"/>
    <s v="Medium Visit"/>
    <n v="7"/>
    <n v="2"/>
    <n v="6"/>
    <n v="7"/>
    <n v="3197"/>
    <n v="1"/>
  </r>
  <r>
    <n v="8420"/>
    <x v="14"/>
    <x v="0"/>
    <n v="45293"/>
    <x v="1"/>
    <x v="17"/>
    <x v="28"/>
    <x v="120"/>
    <s v="Medium Visit"/>
    <n v="37"/>
    <n v="10"/>
    <n v="2"/>
    <n v="0"/>
    <n v="4258"/>
    <n v="1"/>
  </r>
  <r>
    <n v="8421"/>
    <x v="40"/>
    <x v="0"/>
    <n v="76869"/>
    <x v="0"/>
    <x v="9"/>
    <x v="114"/>
    <x v="121"/>
    <s v="Medium Visit"/>
    <n v="5"/>
    <n v="9"/>
    <n v="4"/>
    <n v="2"/>
    <n v="10"/>
    <n v="1"/>
  </r>
  <r>
    <n v="8422"/>
    <x v="8"/>
    <x v="1"/>
    <n v="110429"/>
    <x v="2"/>
    <x v="32"/>
    <x v="115"/>
    <x v="122"/>
    <s v="Long Visit"/>
    <n v="58"/>
    <n v="18"/>
    <n v="0"/>
    <n v="0"/>
    <n v="3441"/>
    <n v="1"/>
  </r>
  <r>
    <n v="8425"/>
    <x v="46"/>
    <x v="0"/>
    <n v="21776"/>
    <x v="1"/>
    <x v="3"/>
    <x v="116"/>
    <x v="123"/>
    <s v="Medium Visit"/>
    <n v="55"/>
    <n v="7"/>
    <n v="9"/>
    <n v="5"/>
    <n v="4140"/>
    <n v="1"/>
  </r>
  <r>
    <n v="8427"/>
    <x v="2"/>
    <x v="1"/>
    <n v="68281"/>
    <x v="0"/>
    <x v="44"/>
    <x v="117"/>
    <x v="124"/>
    <s v="Short Visit"/>
    <n v="93"/>
    <n v="9"/>
    <n v="3"/>
    <n v="6"/>
    <n v="3591"/>
    <n v="1"/>
  </r>
  <r>
    <n v="8430"/>
    <x v="3"/>
    <x v="0"/>
    <n v="51236"/>
    <x v="0"/>
    <x v="24"/>
    <x v="118"/>
    <x v="125"/>
    <s v="Short Visit"/>
    <n v="44"/>
    <n v="6"/>
    <n v="7"/>
    <n v="1"/>
    <n v="1816"/>
    <n v="1"/>
  </r>
  <r>
    <n v="8433"/>
    <x v="47"/>
    <x v="0"/>
    <n v="89205"/>
    <x v="0"/>
    <x v="8"/>
    <x v="119"/>
    <x v="126"/>
    <s v="Long Visit"/>
    <n v="49"/>
    <n v="6"/>
    <n v="1"/>
    <n v="0"/>
    <n v="3965"/>
    <n v="1"/>
  </r>
  <r>
    <n v="8434"/>
    <x v="20"/>
    <x v="0"/>
    <n v="103120"/>
    <x v="2"/>
    <x v="39"/>
    <x v="120"/>
    <x v="127"/>
    <s v="Medium Visit"/>
    <n v="31"/>
    <n v="15"/>
    <n v="8"/>
    <n v="9"/>
    <n v="4446"/>
    <n v="1"/>
  </r>
  <r>
    <n v="8440"/>
    <x v="32"/>
    <x v="1"/>
    <n v="21933"/>
    <x v="1"/>
    <x v="30"/>
    <x v="121"/>
    <x v="128"/>
    <s v="Long Visit"/>
    <n v="65"/>
    <n v="16"/>
    <n v="7"/>
    <n v="1"/>
    <n v="3313"/>
    <n v="1"/>
  </r>
  <r>
    <n v="8441"/>
    <x v="48"/>
    <x v="1"/>
    <n v="53514"/>
    <x v="0"/>
    <x v="35"/>
    <x v="122"/>
    <x v="13"/>
    <s v="Short Visit"/>
    <n v="66"/>
    <n v="16"/>
    <n v="0"/>
    <n v="8"/>
    <n v="4791"/>
    <n v="1"/>
  </r>
  <r>
    <n v="8445"/>
    <x v="34"/>
    <x v="0"/>
    <n v="112607"/>
    <x v="2"/>
    <x v="45"/>
    <x v="123"/>
    <x v="129"/>
    <s v="Long Visit"/>
    <n v="17"/>
    <n v="13"/>
    <n v="2"/>
    <n v="7"/>
    <n v="3993"/>
    <n v="1"/>
  </r>
  <r>
    <n v="8449"/>
    <x v="15"/>
    <x v="0"/>
    <n v="134501"/>
    <x v="2"/>
    <x v="16"/>
    <x v="124"/>
    <x v="130"/>
    <s v="Long Visit"/>
    <n v="84"/>
    <n v="14"/>
    <n v="9"/>
    <n v="2"/>
    <n v="2754"/>
    <n v="1"/>
  </r>
  <r>
    <n v="8452"/>
    <x v="31"/>
    <x v="0"/>
    <n v="59695"/>
    <x v="0"/>
    <x v="15"/>
    <x v="125"/>
    <x v="131"/>
    <s v="Long Visit"/>
    <n v="63"/>
    <n v="11"/>
    <n v="6"/>
    <n v="1"/>
    <n v="162"/>
    <n v="1"/>
  </r>
  <r>
    <n v="8457"/>
    <x v="0"/>
    <x v="0"/>
    <n v="104610"/>
    <x v="2"/>
    <x v="36"/>
    <x v="126"/>
    <x v="132"/>
    <s v="Medium Visit"/>
    <n v="72"/>
    <n v="6"/>
    <n v="6"/>
    <n v="2"/>
    <n v="4305"/>
    <n v="1"/>
  </r>
  <r>
    <n v="8458"/>
    <x v="11"/>
    <x v="0"/>
    <n v="93410"/>
    <x v="0"/>
    <x v="11"/>
    <x v="127"/>
    <x v="133"/>
    <s v="Long Visit"/>
    <n v="74"/>
    <n v="2"/>
    <n v="8"/>
    <n v="7"/>
    <n v="3978"/>
    <n v="1"/>
  </r>
  <r>
    <n v="8460"/>
    <x v="20"/>
    <x v="0"/>
    <n v="59632"/>
    <x v="0"/>
    <x v="46"/>
    <x v="128"/>
    <x v="134"/>
    <s v="Long Visit"/>
    <n v="77"/>
    <n v="18"/>
    <n v="5"/>
    <n v="4"/>
    <n v="2616"/>
    <n v="1"/>
  </r>
  <r>
    <n v="8461"/>
    <x v="7"/>
    <x v="1"/>
    <n v="56790"/>
    <x v="0"/>
    <x v="45"/>
    <x v="129"/>
    <x v="135"/>
    <s v="Long Visit"/>
    <n v="37"/>
    <n v="13"/>
    <n v="7"/>
    <n v="0"/>
    <n v="3498"/>
    <n v="1"/>
  </r>
  <r>
    <n v="8465"/>
    <x v="18"/>
    <x v="0"/>
    <n v="50885"/>
    <x v="0"/>
    <x v="32"/>
    <x v="82"/>
    <x v="136"/>
    <s v="Long Visit"/>
    <n v="71"/>
    <n v="4"/>
    <n v="4"/>
    <n v="4"/>
    <n v="408"/>
    <n v="1"/>
  </r>
  <r>
    <n v="8466"/>
    <x v="35"/>
    <x v="1"/>
    <n v="85214"/>
    <x v="0"/>
    <x v="37"/>
    <x v="130"/>
    <x v="137"/>
    <s v="Short Visit"/>
    <n v="93"/>
    <n v="5"/>
    <n v="4"/>
    <n v="2"/>
    <n v="2849"/>
    <n v="1"/>
  </r>
  <r>
    <n v="8468"/>
    <x v="34"/>
    <x v="0"/>
    <n v="64870"/>
    <x v="0"/>
    <x v="20"/>
    <x v="46"/>
    <x v="138"/>
    <s v="Long Visit"/>
    <n v="64"/>
    <n v="9"/>
    <n v="0"/>
    <n v="6"/>
    <n v="68"/>
    <n v="1"/>
  </r>
  <r>
    <n v="8469"/>
    <x v="9"/>
    <x v="0"/>
    <n v="148217"/>
    <x v="2"/>
    <x v="25"/>
    <x v="131"/>
    <x v="139"/>
    <s v="Long Visit"/>
    <n v="88"/>
    <n v="4"/>
    <n v="2"/>
    <n v="0"/>
    <n v="3624"/>
    <n v="0"/>
  </r>
  <r>
    <n v="8471"/>
    <x v="17"/>
    <x v="1"/>
    <n v="129414"/>
    <x v="2"/>
    <x v="26"/>
    <x v="132"/>
    <x v="140"/>
    <s v="Long Visit"/>
    <n v="26"/>
    <n v="6"/>
    <n v="5"/>
    <n v="4"/>
    <n v="3325"/>
    <n v="1"/>
  </r>
  <r>
    <n v="8472"/>
    <x v="43"/>
    <x v="0"/>
    <n v="25171"/>
    <x v="1"/>
    <x v="25"/>
    <x v="92"/>
    <x v="141"/>
    <s v="Long Visit"/>
    <n v="24"/>
    <n v="9"/>
    <n v="3"/>
    <n v="6"/>
    <n v="2603"/>
    <n v="1"/>
  </r>
  <r>
    <n v="8474"/>
    <x v="9"/>
    <x v="1"/>
    <n v="38077"/>
    <x v="1"/>
    <x v="24"/>
    <x v="133"/>
    <x v="51"/>
    <s v="Short Visit"/>
    <n v="67"/>
    <n v="16"/>
    <n v="9"/>
    <n v="7"/>
    <n v="3563"/>
    <n v="1"/>
  </r>
  <r>
    <n v="8481"/>
    <x v="45"/>
    <x v="0"/>
    <n v="29754"/>
    <x v="1"/>
    <x v="47"/>
    <x v="134"/>
    <x v="142"/>
    <s v="Medium Visit"/>
    <n v="75"/>
    <n v="5"/>
    <n v="4"/>
    <n v="8"/>
    <n v="4935"/>
    <n v="1"/>
  </r>
  <r>
    <n v="8483"/>
    <x v="26"/>
    <x v="0"/>
    <n v="27048"/>
    <x v="1"/>
    <x v="42"/>
    <x v="135"/>
    <x v="104"/>
    <s v="Long Visit"/>
    <n v="78"/>
    <n v="4"/>
    <n v="3"/>
    <n v="4"/>
    <n v="3284"/>
    <n v="1"/>
  </r>
  <r>
    <n v="8484"/>
    <x v="23"/>
    <x v="0"/>
    <n v="42568"/>
    <x v="1"/>
    <x v="30"/>
    <x v="136"/>
    <x v="143"/>
    <s v="Long Visit"/>
    <n v="56"/>
    <n v="15"/>
    <n v="8"/>
    <n v="4"/>
    <n v="1194"/>
    <n v="1"/>
  </r>
  <r>
    <n v="8486"/>
    <x v="23"/>
    <x v="0"/>
    <n v="95019"/>
    <x v="0"/>
    <x v="8"/>
    <x v="137"/>
    <x v="144"/>
    <s v="Long Visit"/>
    <n v="68"/>
    <n v="15"/>
    <n v="4"/>
    <n v="8"/>
    <n v="2270"/>
    <n v="1"/>
  </r>
  <r>
    <n v="8494"/>
    <x v="34"/>
    <x v="1"/>
    <n v="53746"/>
    <x v="0"/>
    <x v="1"/>
    <x v="138"/>
    <x v="145"/>
    <s v="Long Visit"/>
    <n v="93"/>
    <n v="19"/>
    <n v="7"/>
    <n v="1"/>
    <n v="814"/>
    <n v="1"/>
  </r>
  <r>
    <n v="8500"/>
    <x v="38"/>
    <x v="0"/>
    <n v="115387"/>
    <x v="2"/>
    <x v="48"/>
    <x v="139"/>
    <x v="146"/>
    <s v="Medium Visit"/>
    <n v="28"/>
    <n v="7"/>
    <n v="7"/>
    <n v="3"/>
    <n v="3709"/>
    <n v="1"/>
  </r>
  <r>
    <n v="8501"/>
    <x v="14"/>
    <x v="1"/>
    <n v="48756"/>
    <x v="1"/>
    <x v="35"/>
    <x v="140"/>
    <x v="147"/>
    <s v="Long Visit"/>
    <n v="6"/>
    <n v="12"/>
    <n v="0"/>
    <n v="9"/>
    <n v="1633"/>
    <n v="0"/>
  </r>
  <r>
    <n v="8502"/>
    <x v="25"/>
    <x v="1"/>
    <n v="83175"/>
    <x v="0"/>
    <x v="33"/>
    <x v="141"/>
    <x v="148"/>
    <s v="Medium Visit"/>
    <n v="48"/>
    <n v="5"/>
    <n v="4"/>
    <n v="3"/>
    <n v="2097"/>
    <n v="1"/>
  </r>
  <r>
    <n v="8503"/>
    <x v="6"/>
    <x v="0"/>
    <n v="74281"/>
    <x v="0"/>
    <x v="21"/>
    <x v="142"/>
    <x v="149"/>
    <s v="Medium Visit"/>
    <n v="64"/>
    <n v="8"/>
    <n v="2"/>
    <n v="2"/>
    <n v="2738"/>
    <n v="1"/>
  </r>
  <r>
    <n v="8507"/>
    <x v="23"/>
    <x v="1"/>
    <n v="106728"/>
    <x v="2"/>
    <x v="34"/>
    <x v="143"/>
    <x v="150"/>
    <s v="Long Visit"/>
    <n v="98"/>
    <n v="11"/>
    <n v="0"/>
    <n v="4"/>
    <n v="424"/>
    <n v="1"/>
  </r>
  <r>
    <n v="8509"/>
    <x v="30"/>
    <x v="0"/>
    <n v="38839"/>
    <x v="1"/>
    <x v="30"/>
    <x v="144"/>
    <x v="151"/>
    <s v="Long Visit"/>
    <n v="84"/>
    <n v="18"/>
    <n v="5"/>
    <n v="6"/>
    <n v="4022"/>
    <n v="1"/>
  </r>
  <r>
    <n v="8510"/>
    <x v="11"/>
    <x v="1"/>
    <n v="47410"/>
    <x v="1"/>
    <x v="42"/>
    <x v="145"/>
    <x v="56"/>
    <s v="Long Visit"/>
    <n v="12"/>
    <n v="18"/>
    <n v="5"/>
    <n v="4"/>
    <n v="3790"/>
    <n v="1"/>
  </r>
  <r>
    <n v="8514"/>
    <x v="26"/>
    <x v="0"/>
    <n v="137954"/>
    <x v="2"/>
    <x v="32"/>
    <x v="146"/>
    <x v="152"/>
    <s v="Medium Visit"/>
    <n v="72"/>
    <n v="14"/>
    <n v="4"/>
    <n v="9"/>
    <n v="2406"/>
    <n v="1"/>
  </r>
  <r>
    <n v="8520"/>
    <x v="9"/>
    <x v="0"/>
    <n v="41637"/>
    <x v="1"/>
    <x v="0"/>
    <x v="147"/>
    <x v="153"/>
    <s v="Short Visit"/>
    <n v="58"/>
    <n v="12"/>
    <n v="4"/>
    <n v="3"/>
    <n v="677"/>
    <n v="1"/>
  </r>
  <r>
    <n v="8523"/>
    <x v="38"/>
    <x v="0"/>
    <n v="115017"/>
    <x v="2"/>
    <x v="11"/>
    <x v="148"/>
    <x v="154"/>
    <s v="Long Visit"/>
    <n v="5"/>
    <n v="14"/>
    <n v="6"/>
    <n v="7"/>
    <n v="521"/>
    <n v="1"/>
  </r>
  <r>
    <n v="8525"/>
    <x v="23"/>
    <x v="1"/>
    <n v="22589"/>
    <x v="1"/>
    <x v="48"/>
    <x v="149"/>
    <x v="155"/>
    <s v="Long Visit"/>
    <n v="30"/>
    <n v="8"/>
    <n v="1"/>
    <n v="5"/>
    <n v="1432"/>
    <n v="1"/>
  </r>
  <r>
    <n v="8526"/>
    <x v="28"/>
    <x v="0"/>
    <n v="43560"/>
    <x v="1"/>
    <x v="7"/>
    <x v="32"/>
    <x v="2"/>
    <s v="Long Visit"/>
    <n v="17"/>
    <n v="16"/>
    <n v="1"/>
    <n v="7"/>
    <n v="2515"/>
    <n v="1"/>
  </r>
  <r>
    <n v="8528"/>
    <x v="14"/>
    <x v="1"/>
    <n v="20169"/>
    <x v="1"/>
    <x v="32"/>
    <x v="108"/>
    <x v="156"/>
    <s v="Short Visit"/>
    <n v="2"/>
    <n v="9"/>
    <n v="5"/>
    <n v="2"/>
    <n v="50"/>
    <n v="1"/>
  </r>
  <r>
    <n v="8529"/>
    <x v="3"/>
    <x v="0"/>
    <n v="112449"/>
    <x v="2"/>
    <x v="21"/>
    <x v="150"/>
    <x v="157"/>
    <s v="Short Visit"/>
    <n v="70"/>
    <n v="8"/>
    <n v="1"/>
    <n v="8"/>
    <n v="4385"/>
    <n v="1"/>
  </r>
  <r>
    <n v="8530"/>
    <x v="39"/>
    <x v="0"/>
    <n v="23239"/>
    <x v="1"/>
    <x v="2"/>
    <x v="151"/>
    <x v="158"/>
    <s v="Long Visit"/>
    <n v="25"/>
    <n v="19"/>
    <n v="4"/>
    <n v="1"/>
    <n v="67"/>
    <n v="1"/>
  </r>
  <r>
    <n v="8538"/>
    <x v="9"/>
    <x v="1"/>
    <n v="141566"/>
    <x v="2"/>
    <x v="47"/>
    <x v="152"/>
    <x v="159"/>
    <s v="Long Visit"/>
    <n v="78"/>
    <n v="9"/>
    <n v="6"/>
    <n v="1"/>
    <n v="4361"/>
    <n v="1"/>
  </r>
  <r>
    <n v="8541"/>
    <x v="41"/>
    <x v="1"/>
    <n v="59612"/>
    <x v="0"/>
    <x v="37"/>
    <x v="153"/>
    <x v="105"/>
    <s v="Long Visit"/>
    <n v="46"/>
    <n v="18"/>
    <n v="1"/>
    <n v="6"/>
    <n v="3336"/>
    <n v="1"/>
  </r>
  <r>
    <n v="8544"/>
    <x v="25"/>
    <x v="1"/>
    <n v="140877"/>
    <x v="2"/>
    <x v="46"/>
    <x v="154"/>
    <x v="160"/>
    <s v="Long Visit"/>
    <n v="95"/>
    <n v="16"/>
    <n v="7"/>
    <n v="8"/>
    <n v="4209"/>
    <n v="1"/>
  </r>
  <r>
    <n v="8545"/>
    <x v="22"/>
    <x v="0"/>
    <n v="122269"/>
    <x v="2"/>
    <x v="27"/>
    <x v="155"/>
    <x v="95"/>
    <s v="Short Visit"/>
    <n v="87"/>
    <n v="2"/>
    <n v="8"/>
    <n v="4"/>
    <n v="1727"/>
    <n v="1"/>
  </r>
  <r>
    <n v="8546"/>
    <x v="18"/>
    <x v="1"/>
    <n v="59952"/>
    <x v="0"/>
    <x v="29"/>
    <x v="156"/>
    <x v="161"/>
    <s v="Long Visit"/>
    <n v="83"/>
    <n v="2"/>
    <n v="3"/>
    <n v="6"/>
    <n v="662"/>
    <n v="1"/>
  </r>
  <r>
    <n v="8553"/>
    <x v="34"/>
    <x v="1"/>
    <n v="47260"/>
    <x v="1"/>
    <x v="48"/>
    <x v="29"/>
    <x v="162"/>
    <s v="Long Visit"/>
    <n v="15"/>
    <n v="5"/>
    <n v="2"/>
    <n v="8"/>
    <n v="3227"/>
    <n v="1"/>
  </r>
  <r>
    <n v="8554"/>
    <x v="29"/>
    <x v="0"/>
    <n v="52879"/>
    <x v="0"/>
    <x v="49"/>
    <x v="157"/>
    <x v="163"/>
    <s v="Medium Visit"/>
    <n v="64"/>
    <n v="9"/>
    <n v="1"/>
    <n v="6"/>
    <n v="3226"/>
    <n v="1"/>
  </r>
  <r>
    <n v="8556"/>
    <x v="2"/>
    <x v="0"/>
    <n v="69744"/>
    <x v="0"/>
    <x v="6"/>
    <x v="158"/>
    <x v="164"/>
    <s v="Long Visit"/>
    <n v="70"/>
    <n v="8"/>
    <n v="7"/>
    <n v="3"/>
    <n v="1046"/>
    <n v="1"/>
  </r>
  <r>
    <n v="8561"/>
    <x v="39"/>
    <x v="1"/>
    <n v="112551"/>
    <x v="2"/>
    <x v="9"/>
    <x v="159"/>
    <x v="165"/>
    <s v="Short Visit"/>
    <n v="70"/>
    <n v="15"/>
    <n v="8"/>
    <n v="7"/>
    <n v="325"/>
    <n v="0"/>
  </r>
  <r>
    <n v="8565"/>
    <x v="49"/>
    <x v="1"/>
    <n v="39178"/>
    <x v="1"/>
    <x v="14"/>
    <x v="160"/>
    <x v="166"/>
    <s v="Medium Visit"/>
    <n v="13"/>
    <n v="1"/>
    <n v="7"/>
    <n v="7"/>
    <n v="4056"/>
    <n v="1"/>
  </r>
  <r>
    <n v="8569"/>
    <x v="4"/>
    <x v="0"/>
    <n v="129365"/>
    <x v="2"/>
    <x v="32"/>
    <x v="14"/>
    <x v="167"/>
    <s v="Long Visit"/>
    <n v="3"/>
    <n v="14"/>
    <n v="6"/>
    <n v="2"/>
    <n v="1064"/>
    <n v="1"/>
  </r>
  <r>
    <n v="8571"/>
    <x v="0"/>
    <x v="0"/>
    <n v="56366"/>
    <x v="0"/>
    <x v="43"/>
    <x v="161"/>
    <x v="168"/>
    <s v="Long Visit"/>
    <n v="42"/>
    <n v="12"/>
    <n v="1"/>
    <n v="9"/>
    <n v="1449"/>
    <n v="1"/>
  </r>
  <r>
    <n v="8573"/>
    <x v="40"/>
    <x v="1"/>
    <n v="119830"/>
    <x v="2"/>
    <x v="25"/>
    <x v="162"/>
    <x v="169"/>
    <s v="Long Visit"/>
    <n v="83"/>
    <n v="4"/>
    <n v="7"/>
    <n v="3"/>
    <n v="1606"/>
    <n v="1"/>
  </r>
  <r>
    <n v="8575"/>
    <x v="49"/>
    <x v="0"/>
    <n v="120273"/>
    <x v="2"/>
    <x v="40"/>
    <x v="163"/>
    <x v="170"/>
    <s v="Long Visit"/>
    <n v="5"/>
    <n v="9"/>
    <n v="6"/>
    <n v="9"/>
    <n v="4173"/>
    <n v="1"/>
  </r>
  <r>
    <n v="8582"/>
    <x v="32"/>
    <x v="1"/>
    <n v="146866"/>
    <x v="2"/>
    <x v="17"/>
    <x v="164"/>
    <x v="171"/>
    <s v="Long Visit"/>
    <n v="37"/>
    <n v="12"/>
    <n v="5"/>
    <n v="8"/>
    <n v="3613"/>
    <n v="1"/>
  </r>
  <r>
    <n v="8583"/>
    <x v="45"/>
    <x v="0"/>
    <n v="120658"/>
    <x v="2"/>
    <x v="35"/>
    <x v="147"/>
    <x v="172"/>
    <s v="Long Visit"/>
    <n v="65"/>
    <n v="3"/>
    <n v="2"/>
    <n v="3"/>
    <n v="2277"/>
    <n v="1"/>
  </r>
  <r>
    <n v="8584"/>
    <x v="23"/>
    <x v="0"/>
    <n v="123623"/>
    <x v="2"/>
    <x v="19"/>
    <x v="165"/>
    <x v="173"/>
    <s v="Long Visit"/>
    <n v="64"/>
    <n v="13"/>
    <n v="5"/>
    <n v="7"/>
    <n v="2814"/>
    <n v="1"/>
  </r>
  <r>
    <n v="8586"/>
    <x v="40"/>
    <x v="0"/>
    <n v="132824"/>
    <x v="2"/>
    <x v="11"/>
    <x v="166"/>
    <x v="174"/>
    <s v="Long Visit"/>
    <n v="29"/>
    <n v="6"/>
    <n v="0"/>
    <n v="6"/>
    <n v="1477"/>
    <n v="1"/>
  </r>
  <r>
    <n v="8589"/>
    <x v="23"/>
    <x v="0"/>
    <n v="118917"/>
    <x v="2"/>
    <x v="34"/>
    <x v="167"/>
    <x v="165"/>
    <s v="Short Visit"/>
    <n v="31"/>
    <n v="4"/>
    <n v="4"/>
    <n v="2"/>
    <n v="4641"/>
    <n v="1"/>
  </r>
  <r>
    <n v="8593"/>
    <x v="12"/>
    <x v="0"/>
    <n v="61770"/>
    <x v="0"/>
    <x v="22"/>
    <x v="168"/>
    <x v="175"/>
    <s v="Long Visit"/>
    <n v="4"/>
    <n v="7"/>
    <n v="6"/>
    <n v="7"/>
    <n v="2090"/>
    <n v="1"/>
  </r>
  <r>
    <n v="8594"/>
    <x v="18"/>
    <x v="0"/>
    <n v="42300"/>
    <x v="1"/>
    <x v="17"/>
    <x v="169"/>
    <x v="176"/>
    <s v="Medium Visit"/>
    <n v="98"/>
    <n v="6"/>
    <n v="2"/>
    <n v="9"/>
    <n v="4828"/>
    <n v="1"/>
  </r>
  <r>
    <n v="8596"/>
    <x v="22"/>
    <x v="0"/>
    <n v="88235"/>
    <x v="0"/>
    <x v="29"/>
    <x v="85"/>
    <x v="20"/>
    <s v="Medium Visit"/>
    <n v="95"/>
    <n v="2"/>
    <n v="8"/>
    <n v="7"/>
    <n v="2166"/>
    <n v="1"/>
  </r>
  <r>
    <n v="8597"/>
    <x v="36"/>
    <x v="1"/>
    <n v="49485"/>
    <x v="1"/>
    <x v="31"/>
    <x v="81"/>
    <x v="177"/>
    <s v="Medium Visit"/>
    <n v="58"/>
    <n v="17"/>
    <n v="1"/>
    <n v="3"/>
    <n v="2855"/>
    <n v="1"/>
  </r>
  <r>
    <n v="8598"/>
    <x v="40"/>
    <x v="1"/>
    <n v="140605"/>
    <x v="2"/>
    <x v="22"/>
    <x v="170"/>
    <x v="178"/>
    <s v="Short Visit"/>
    <n v="22"/>
    <n v="14"/>
    <n v="8"/>
    <n v="6"/>
    <n v="2077"/>
    <n v="1"/>
  </r>
  <r>
    <n v="8599"/>
    <x v="3"/>
    <x v="0"/>
    <n v="60285"/>
    <x v="0"/>
    <x v="29"/>
    <x v="24"/>
    <x v="179"/>
    <s v="Long Visit"/>
    <n v="7"/>
    <n v="14"/>
    <n v="2"/>
    <n v="9"/>
    <n v="612"/>
    <n v="1"/>
  </r>
  <r>
    <n v="8612"/>
    <x v="19"/>
    <x v="1"/>
    <n v="92265"/>
    <x v="0"/>
    <x v="49"/>
    <x v="149"/>
    <x v="180"/>
    <s v="Long Visit"/>
    <n v="32"/>
    <n v="7"/>
    <n v="0"/>
    <n v="1"/>
    <n v="3806"/>
    <n v="1"/>
  </r>
  <r>
    <n v="8616"/>
    <x v="2"/>
    <x v="0"/>
    <n v="80684"/>
    <x v="0"/>
    <x v="4"/>
    <x v="171"/>
    <x v="181"/>
    <s v="Short Visit"/>
    <n v="98"/>
    <n v="11"/>
    <n v="2"/>
    <n v="9"/>
    <n v="4686"/>
    <n v="1"/>
  </r>
  <r>
    <n v="8617"/>
    <x v="32"/>
    <x v="0"/>
    <n v="75165"/>
    <x v="0"/>
    <x v="37"/>
    <x v="172"/>
    <x v="182"/>
    <s v="Medium Visit"/>
    <n v="27"/>
    <n v="17"/>
    <n v="3"/>
    <n v="6"/>
    <n v="2715"/>
    <n v="1"/>
  </r>
  <r>
    <n v="8619"/>
    <x v="11"/>
    <x v="0"/>
    <n v="54725"/>
    <x v="0"/>
    <x v="0"/>
    <x v="173"/>
    <x v="94"/>
    <s v="Long Visit"/>
    <n v="74"/>
    <n v="15"/>
    <n v="2"/>
    <n v="2"/>
    <n v="3923"/>
    <n v="1"/>
  </r>
  <r>
    <n v="8623"/>
    <x v="32"/>
    <x v="1"/>
    <n v="104600"/>
    <x v="2"/>
    <x v="7"/>
    <x v="174"/>
    <x v="88"/>
    <s v="Long Visit"/>
    <n v="22"/>
    <n v="5"/>
    <n v="0"/>
    <n v="6"/>
    <n v="333"/>
    <n v="1"/>
  </r>
  <r>
    <n v="8627"/>
    <x v="50"/>
    <x v="0"/>
    <n v="40115"/>
    <x v="1"/>
    <x v="41"/>
    <x v="175"/>
    <x v="183"/>
    <s v="Long Visit"/>
    <n v="40"/>
    <n v="7"/>
    <n v="6"/>
    <n v="8"/>
    <n v="3624"/>
    <n v="1"/>
  </r>
  <r>
    <n v="8631"/>
    <x v="28"/>
    <x v="1"/>
    <n v="106151"/>
    <x v="2"/>
    <x v="25"/>
    <x v="176"/>
    <x v="108"/>
    <s v="Medium Visit"/>
    <n v="0"/>
    <n v="10"/>
    <n v="1"/>
    <n v="5"/>
    <n v="4046"/>
    <n v="1"/>
  </r>
  <r>
    <n v="8638"/>
    <x v="49"/>
    <x v="0"/>
    <n v="20981"/>
    <x v="1"/>
    <x v="32"/>
    <x v="177"/>
    <x v="184"/>
    <s v="Medium Visit"/>
    <n v="42"/>
    <n v="1"/>
    <n v="3"/>
    <n v="1"/>
    <n v="4640"/>
    <n v="0"/>
  </r>
  <r>
    <n v="8643"/>
    <x v="12"/>
    <x v="0"/>
    <n v="101666"/>
    <x v="2"/>
    <x v="33"/>
    <x v="178"/>
    <x v="185"/>
    <s v="Medium Visit"/>
    <n v="25"/>
    <n v="17"/>
    <n v="7"/>
    <n v="6"/>
    <n v="4550"/>
    <n v="1"/>
  </r>
  <r>
    <n v="8644"/>
    <x v="26"/>
    <x v="0"/>
    <n v="104351"/>
    <x v="2"/>
    <x v="39"/>
    <x v="179"/>
    <x v="186"/>
    <s v="Medium Visit"/>
    <n v="17"/>
    <n v="16"/>
    <n v="5"/>
    <n v="8"/>
    <n v="4369"/>
    <n v="1"/>
  </r>
  <r>
    <n v="8646"/>
    <x v="42"/>
    <x v="0"/>
    <n v="111865"/>
    <x v="2"/>
    <x v="25"/>
    <x v="180"/>
    <x v="130"/>
    <s v="Long Visit"/>
    <n v="74"/>
    <n v="5"/>
    <n v="3"/>
    <n v="9"/>
    <n v="3708"/>
    <n v="1"/>
  </r>
  <r>
    <n v="8647"/>
    <x v="9"/>
    <x v="1"/>
    <n v="91885"/>
    <x v="0"/>
    <x v="16"/>
    <x v="181"/>
    <x v="187"/>
    <s v="Long Visit"/>
    <n v="65"/>
    <n v="17"/>
    <n v="6"/>
    <n v="5"/>
    <n v="3870"/>
    <n v="1"/>
  </r>
  <r>
    <n v="8653"/>
    <x v="49"/>
    <x v="1"/>
    <n v="107350"/>
    <x v="2"/>
    <x v="2"/>
    <x v="182"/>
    <x v="188"/>
    <s v="Short Visit"/>
    <n v="14"/>
    <n v="2"/>
    <n v="2"/>
    <n v="1"/>
    <n v="2195"/>
    <n v="1"/>
  </r>
  <r>
    <n v="8657"/>
    <x v="3"/>
    <x v="0"/>
    <n v="107081"/>
    <x v="2"/>
    <x v="6"/>
    <x v="183"/>
    <x v="189"/>
    <s v="Long Visit"/>
    <n v="26"/>
    <n v="12"/>
    <n v="6"/>
    <n v="2"/>
    <n v="2964"/>
    <n v="1"/>
  </r>
  <r>
    <n v="8662"/>
    <x v="8"/>
    <x v="0"/>
    <n v="54103"/>
    <x v="0"/>
    <x v="41"/>
    <x v="124"/>
    <x v="118"/>
    <s v="Medium Visit"/>
    <n v="49"/>
    <n v="1"/>
    <n v="1"/>
    <n v="2"/>
    <n v="3426"/>
    <n v="1"/>
  </r>
  <r>
    <n v="8664"/>
    <x v="21"/>
    <x v="1"/>
    <n v="114805"/>
    <x v="2"/>
    <x v="6"/>
    <x v="184"/>
    <x v="93"/>
    <s v="Short Visit"/>
    <n v="23"/>
    <n v="14"/>
    <n v="4"/>
    <n v="8"/>
    <n v="1878"/>
    <n v="1"/>
  </r>
  <r>
    <n v="8665"/>
    <x v="42"/>
    <x v="0"/>
    <n v="69264"/>
    <x v="0"/>
    <x v="9"/>
    <x v="185"/>
    <x v="190"/>
    <s v="Long Visit"/>
    <n v="33"/>
    <n v="3"/>
    <n v="7"/>
    <n v="3"/>
    <n v="955"/>
    <n v="1"/>
  </r>
  <r>
    <n v="8666"/>
    <x v="25"/>
    <x v="0"/>
    <n v="40156"/>
    <x v="1"/>
    <x v="47"/>
    <x v="186"/>
    <x v="191"/>
    <s v="Long Visit"/>
    <n v="90"/>
    <n v="10"/>
    <n v="4"/>
    <n v="4"/>
    <n v="1226"/>
    <n v="1"/>
  </r>
  <r>
    <n v="8667"/>
    <x v="43"/>
    <x v="1"/>
    <n v="33423"/>
    <x v="1"/>
    <x v="3"/>
    <x v="187"/>
    <x v="192"/>
    <s v="Long Visit"/>
    <n v="19"/>
    <n v="6"/>
    <n v="1"/>
    <n v="3"/>
    <n v="1675"/>
    <n v="0"/>
  </r>
  <r>
    <n v="8674"/>
    <x v="49"/>
    <x v="1"/>
    <n v="103905"/>
    <x v="2"/>
    <x v="49"/>
    <x v="188"/>
    <x v="61"/>
    <s v="Medium Visit"/>
    <n v="49"/>
    <n v="1"/>
    <n v="7"/>
    <n v="7"/>
    <n v="1322"/>
    <n v="1"/>
  </r>
  <r>
    <n v="8675"/>
    <x v="13"/>
    <x v="0"/>
    <n v="47868"/>
    <x v="1"/>
    <x v="0"/>
    <x v="189"/>
    <x v="193"/>
    <s v="Medium Visit"/>
    <n v="54"/>
    <n v="6"/>
    <n v="0"/>
    <n v="2"/>
    <n v="1226"/>
    <n v="1"/>
  </r>
  <r>
    <n v="8678"/>
    <x v="45"/>
    <x v="1"/>
    <n v="139779"/>
    <x v="2"/>
    <x v="13"/>
    <x v="190"/>
    <x v="194"/>
    <s v="Medium Visit"/>
    <n v="96"/>
    <n v="17"/>
    <n v="7"/>
    <n v="1"/>
    <n v="2719"/>
    <n v="1"/>
  </r>
  <r>
    <n v="8679"/>
    <x v="37"/>
    <x v="0"/>
    <n v="100084"/>
    <x v="2"/>
    <x v="49"/>
    <x v="56"/>
    <x v="195"/>
    <s v="Long Visit"/>
    <n v="9"/>
    <n v="14"/>
    <n v="9"/>
    <n v="5"/>
    <n v="2703"/>
    <n v="1"/>
  </r>
  <r>
    <n v="8682"/>
    <x v="33"/>
    <x v="0"/>
    <n v="117919"/>
    <x v="2"/>
    <x v="44"/>
    <x v="191"/>
    <x v="196"/>
    <s v="Long Visit"/>
    <n v="10"/>
    <n v="16"/>
    <n v="4"/>
    <n v="8"/>
    <n v="2229"/>
    <n v="1"/>
  </r>
  <r>
    <n v="8686"/>
    <x v="46"/>
    <x v="1"/>
    <n v="115747"/>
    <x v="2"/>
    <x v="33"/>
    <x v="57"/>
    <x v="197"/>
    <s v="Long Visit"/>
    <n v="19"/>
    <n v="4"/>
    <n v="8"/>
    <n v="8"/>
    <n v="942"/>
    <n v="1"/>
  </r>
  <r>
    <n v="8688"/>
    <x v="5"/>
    <x v="0"/>
    <n v="23389"/>
    <x v="1"/>
    <x v="13"/>
    <x v="192"/>
    <x v="198"/>
    <s v="Medium Visit"/>
    <n v="78"/>
    <n v="11"/>
    <n v="2"/>
    <n v="3"/>
    <n v="3194"/>
    <n v="0"/>
  </r>
  <r>
    <n v="8697"/>
    <x v="47"/>
    <x v="0"/>
    <n v="71857"/>
    <x v="0"/>
    <x v="16"/>
    <x v="193"/>
    <x v="199"/>
    <s v="Long Visit"/>
    <n v="30"/>
    <n v="4"/>
    <n v="1"/>
    <n v="1"/>
    <n v="4383"/>
    <n v="1"/>
  </r>
  <r>
    <n v="8698"/>
    <x v="6"/>
    <x v="0"/>
    <n v="84367"/>
    <x v="0"/>
    <x v="9"/>
    <x v="194"/>
    <x v="200"/>
    <s v="Long Visit"/>
    <n v="50"/>
    <n v="18"/>
    <n v="0"/>
    <n v="5"/>
    <n v="614"/>
    <n v="1"/>
  </r>
  <r>
    <n v="8699"/>
    <x v="9"/>
    <x v="0"/>
    <n v="56527"/>
    <x v="0"/>
    <x v="40"/>
    <x v="195"/>
    <x v="201"/>
    <s v="Medium Visit"/>
    <n v="82"/>
    <n v="10"/>
    <n v="9"/>
    <n v="9"/>
    <n v="921"/>
    <n v="1"/>
  </r>
  <r>
    <n v="8703"/>
    <x v="22"/>
    <x v="1"/>
    <n v="131562"/>
    <x v="2"/>
    <x v="37"/>
    <x v="196"/>
    <x v="202"/>
    <s v="Long Visit"/>
    <n v="76"/>
    <n v="14"/>
    <n v="3"/>
    <n v="1"/>
    <n v="1114"/>
    <n v="1"/>
  </r>
  <r>
    <n v="8704"/>
    <x v="18"/>
    <x v="0"/>
    <n v="21112"/>
    <x v="1"/>
    <x v="20"/>
    <x v="54"/>
    <x v="203"/>
    <s v="Long Visit"/>
    <n v="37"/>
    <n v="3"/>
    <n v="1"/>
    <n v="1"/>
    <n v="3444"/>
    <n v="1"/>
  </r>
  <r>
    <n v="8707"/>
    <x v="42"/>
    <x v="1"/>
    <n v="109017"/>
    <x v="2"/>
    <x v="19"/>
    <x v="197"/>
    <x v="204"/>
    <s v="Long Visit"/>
    <n v="10"/>
    <n v="1"/>
    <n v="5"/>
    <n v="9"/>
    <n v="846"/>
    <n v="0"/>
  </r>
  <r>
    <n v="8709"/>
    <x v="7"/>
    <x v="0"/>
    <n v="95561"/>
    <x v="0"/>
    <x v="13"/>
    <x v="87"/>
    <x v="205"/>
    <s v="Long Visit"/>
    <n v="57"/>
    <n v="18"/>
    <n v="6"/>
    <n v="6"/>
    <n v="666"/>
    <n v="1"/>
  </r>
  <r>
    <n v="8714"/>
    <x v="41"/>
    <x v="1"/>
    <n v="31304"/>
    <x v="1"/>
    <x v="18"/>
    <x v="134"/>
    <x v="206"/>
    <s v="Long Visit"/>
    <n v="88"/>
    <n v="7"/>
    <n v="9"/>
    <n v="7"/>
    <n v="4730"/>
    <n v="1"/>
  </r>
  <r>
    <n v="8723"/>
    <x v="20"/>
    <x v="1"/>
    <n v="148658"/>
    <x v="2"/>
    <x v="15"/>
    <x v="198"/>
    <x v="207"/>
    <s v="Medium Visit"/>
    <n v="59"/>
    <n v="1"/>
    <n v="4"/>
    <n v="7"/>
    <n v="4769"/>
    <n v="0"/>
  </r>
  <r>
    <n v="8727"/>
    <x v="10"/>
    <x v="0"/>
    <n v="78348"/>
    <x v="0"/>
    <x v="8"/>
    <x v="199"/>
    <x v="208"/>
    <s v="Short Visit"/>
    <n v="50"/>
    <n v="10"/>
    <n v="0"/>
    <n v="1"/>
    <n v="1973"/>
    <n v="0"/>
  </r>
  <r>
    <n v="8729"/>
    <x v="26"/>
    <x v="1"/>
    <n v="148121"/>
    <x v="2"/>
    <x v="26"/>
    <x v="200"/>
    <x v="209"/>
    <s v="Long Visit"/>
    <n v="56"/>
    <n v="13"/>
    <n v="1"/>
    <n v="9"/>
    <n v="2627"/>
    <n v="1"/>
  </r>
  <r>
    <n v="8730"/>
    <x v="31"/>
    <x v="0"/>
    <n v="100972"/>
    <x v="2"/>
    <x v="38"/>
    <x v="21"/>
    <x v="210"/>
    <s v="Medium Visit"/>
    <n v="83"/>
    <n v="4"/>
    <n v="2"/>
    <n v="4"/>
    <n v="3913"/>
    <n v="1"/>
  </r>
  <r>
    <n v="8733"/>
    <x v="37"/>
    <x v="0"/>
    <n v="100732"/>
    <x v="2"/>
    <x v="16"/>
    <x v="201"/>
    <x v="211"/>
    <s v="Long Visit"/>
    <n v="5"/>
    <n v="4"/>
    <n v="8"/>
    <n v="4"/>
    <n v="2673"/>
    <n v="1"/>
  </r>
  <r>
    <n v="8734"/>
    <x v="35"/>
    <x v="0"/>
    <n v="80200"/>
    <x v="0"/>
    <x v="38"/>
    <x v="202"/>
    <x v="212"/>
    <s v="Long Visit"/>
    <n v="6"/>
    <n v="4"/>
    <n v="3"/>
    <n v="9"/>
    <n v="627"/>
    <n v="0"/>
  </r>
  <r>
    <n v="8739"/>
    <x v="17"/>
    <x v="1"/>
    <n v="118120"/>
    <x v="2"/>
    <x v="19"/>
    <x v="134"/>
    <x v="213"/>
    <s v="Long Visit"/>
    <n v="97"/>
    <n v="1"/>
    <n v="7"/>
    <n v="9"/>
    <n v="4006"/>
    <n v="1"/>
  </r>
  <r>
    <n v="8742"/>
    <x v="1"/>
    <x v="0"/>
    <n v="64840"/>
    <x v="0"/>
    <x v="36"/>
    <x v="203"/>
    <x v="214"/>
    <s v="Long Visit"/>
    <n v="4"/>
    <n v="9"/>
    <n v="4"/>
    <n v="8"/>
    <n v="1071"/>
    <n v="1"/>
  </r>
  <r>
    <n v="8746"/>
    <x v="43"/>
    <x v="0"/>
    <n v="79321"/>
    <x v="0"/>
    <x v="13"/>
    <x v="204"/>
    <x v="215"/>
    <s v="Medium Visit"/>
    <n v="1"/>
    <n v="9"/>
    <n v="3"/>
    <n v="9"/>
    <n v="2360"/>
    <n v="1"/>
  </r>
  <r>
    <n v="8748"/>
    <x v="16"/>
    <x v="0"/>
    <n v="63202"/>
    <x v="0"/>
    <x v="13"/>
    <x v="205"/>
    <x v="216"/>
    <s v="Short Visit"/>
    <n v="9"/>
    <n v="18"/>
    <n v="5"/>
    <n v="1"/>
    <n v="2299"/>
    <n v="1"/>
  </r>
  <r>
    <n v="8750"/>
    <x v="17"/>
    <x v="0"/>
    <n v="23090"/>
    <x v="1"/>
    <x v="38"/>
    <x v="206"/>
    <x v="217"/>
    <s v="Long Visit"/>
    <n v="50"/>
    <n v="1"/>
    <n v="6"/>
    <n v="5"/>
    <n v="2099"/>
    <n v="1"/>
  </r>
  <r>
    <n v="8756"/>
    <x v="47"/>
    <x v="0"/>
    <n v="125297"/>
    <x v="2"/>
    <x v="5"/>
    <x v="207"/>
    <x v="210"/>
    <s v="Medium Visit"/>
    <n v="23"/>
    <n v="0"/>
    <n v="3"/>
    <n v="3"/>
    <n v="353"/>
    <n v="1"/>
  </r>
  <r>
    <n v="8758"/>
    <x v="38"/>
    <x v="0"/>
    <n v="41661"/>
    <x v="1"/>
    <x v="18"/>
    <x v="208"/>
    <x v="218"/>
    <s v="Long Visit"/>
    <n v="55"/>
    <n v="17"/>
    <n v="5"/>
    <n v="3"/>
    <n v="2310"/>
    <n v="1"/>
  </r>
  <r>
    <n v="8764"/>
    <x v="38"/>
    <x v="1"/>
    <n v="85843"/>
    <x v="0"/>
    <x v="0"/>
    <x v="209"/>
    <x v="86"/>
    <s v="Medium Visit"/>
    <n v="80"/>
    <n v="14"/>
    <n v="7"/>
    <n v="3"/>
    <n v="329"/>
    <n v="1"/>
  </r>
  <r>
    <n v="8765"/>
    <x v="20"/>
    <x v="1"/>
    <n v="80752"/>
    <x v="0"/>
    <x v="24"/>
    <x v="210"/>
    <x v="219"/>
    <s v="Short Visit"/>
    <n v="11"/>
    <n v="5"/>
    <n v="0"/>
    <n v="8"/>
    <n v="3479"/>
    <n v="1"/>
  </r>
  <r>
    <n v="8768"/>
    <x v="2"/>
    <x v="1"/>
    <n v="114328"/>
    <x v="2"/>
    <x v="45"/>
    <x v="211"/>
    <x v="220"/>
    <s v="Long Visit"/>
    <n v="71"/>
    <n v="11"/>
    <n v="3"/>
    <n v="3"/>
    <n v="2470"/>
    <n v="1"/>
  </r>
  <r>
    <n v="8769"/>
    <x v="26"/>
    <x v="1"/>
    <n v="20765"/>
    <x v="1"/>
    <x v="17"/>
    <x v="212"/>
    <x v="221"/>
    <s v="Short Visit"/>
    <n v="21"/>
    <n v="9"/>
    <n v="3"/>
    <n v="9"/>
    <n v="4519"/>
    <n v="1"/>
  </r>
  <r>
    <n v="8774"/>
    <x v="20"/>
    <x v="1"/>
    <n v="93271"/>
    <x v="0"/>
    <x v="9"/>
    <x v="213"/>
    <x v="222"/>
    <s v="Short Visit"/>
    <n v="27"/>
    <n v="17"/>
    <n v="1"/>
    <n v="7"/>
    <n v="3473"/>
    <n v="1"/>
  </r>
  <r>
    <n v="8776"/>
    <x v="26"/>
    <x v="1"/>
    <n v="67199"/>
    <x v="0"/>
    <x v="39"/>
    <x v="51"/>
    <x v="223"/>
    <s v="Long Visit"/>
    <n v="27"/>
    <n v="8"/>
    <n v="4"/>
    <n v="9"/>
    <n v="1287"/>
    <n v="1"/>
  </r>
  <r>
    <n v="8795"/>
    <x v="30"/>
    <x v="1"/>
    <n v="39631"/>
    <x v="1"/>
    <x v="29"/>
    <x v="214"/>
    <x v="224"/>
    <s v="Medium Visit"/>
    <n v="34"/>
    <n v="3"/>
    <n v="4"/>
    <n v="6"/>
    <n v="1260"/>
    <n v="1"/>
  </r>
  <r>
    <n v="8796"/>
    <x v="25"/>
    <x v="0"/>
    <n v="72652"/>
    <x v="0"/>
    <x v="18"/>
    <x v="215"/>
    <x v="225"/>
    <s v="Long Visit"/>
    <n v="96"/>
    <n v="8"/>
    <n v="2"/>
    <n v="0"/>
    <n v="3759"/>
    <n v="1"/>
  </r>
  <r>
    <n v="8801"/>
    <x v="50"/>
    <x v="1"/>
    <n v="57377"/>
    <x v="0"/>
    <x v="16"/>
    <x v="153"/>
    <x v="226"/>
    <s v="Short Visit"/>
    <n v="32"/>
    <n v="12"/>
    <n v="7"/>
    <n v="3"/>
    <n v="3608"/>
    <n v="1"/>
  </r>
  <r>
    <n v="8802"/>
    <x v="46"/>
    <x v="1"/>
    <n v="96670"/>
    <x v="0"/>
    <x v="46"/>
    <x v="216"/>
    <x v="227"/>
    <s v="Long Visit"/>
    <n v="94"/>
    <n v="16"/>
    <n v="7"/>
    <n v="6"/>
    <n v="1944"/>
    <n v="1"/>
  </r>
  <r>
    <n v="8807"/>
    <x v="19"/>
    <x v="0"/>
    <n v="133849"/>
    <x v="2"/>
    <x v="26"/>
    <x v="217"/>
    <x v="228"/>
    <s v="Long Visit"/>
    <n v="99"/>
    <n v="2"/>
    <n v="8"/>
    <n v="9"/>
    <n v="4484"/>
    <n v="1"/>
  </r>
  <r>
    <n v="8812"/>
    <x v="1"/>
    <x v="0"/>
    <n v="88289"/>
    <x v="0"/>
    <x v="39"/>
    <x v="218"/>
    <x v="229"/>
    <s v="Short Visit"/>
    <n v="26"/>
    <n v="13"/>
    <n v="8"/>
    <n v="2"/>
    <n v="3232"/>
    <n v="1"/>
  </r>
  <r>
    <n v="8814"/>
    <x v="15"/>
    <x v="1"/>
    <n v="119676"/>
    <x v="2"/>
    <x v="46"/>
    <x v="219"/>
    <x v="230"/>
    <s v="Long Visit"/>
    <n v="57"/>
    <n v="18"/>
    <n v="9"/>
    <n v="7"/>
    <n v="3758"/>
    <n v="1"/>
  </r>
  <r>
    <n v="8816"/>
    <x v="29"/>
    <x v="0"/>
    <n v="95172"/>
    <x v="0"/>
    <x v="45"/>
    <x v="220"/>
    <x v="231"/>
    <s v="Medium Visit"/>
    <n v="3"/>
    <n v="18"/>
    <n v="3"/>
    <n v="2"/>
    <n v="3114"/>
    <n v="1"/>
  </r>
  <r>
    <n v="8819"/>
    <x v="39"/>
    <x v="0"/>
    <n v="61249"/>
    <x v="0"/>
    <x v="28"/>
    <x v="221"/>
    <x v="232"/>
    <s v="Long Visit"/>
    <n v="79"/>
    <n v="10"/>
    <n v="8"/>
    <n v="3"/>
    <n v="3774"/>
    <n v="1"/>
  </r>
  <r>
    <n v="8820"/>
    <x v="27"/>
    <x v="1"/>
    <n v="63025"/>
    <x v="0"/>
    <x v="32"/>
    <x v="76"/>
    <x v="233"/>
    <s v="Long Visit"/>
    <n v="90"/>
    <n v="0"/>
    <n v="4"/>
    <n v="8"/>
    <n v="1793"/>
    <n v="1"/>
  </r>
  <r>
    <n v="8822"/>
    <x v="43"/>
    <x v="0"/>
    <n v="105865"/>
    <x v="2"/>
    <x v="47"/>
    <x v="10"/>
    <x v="234"/>
    <s v="Long Visit"/>
    <n v="19"/>
    <n v="7"/>
    <n v="7"/>
    <n v="8"/>
    <n v="2017"/>
    <n v="1"/>
  </r>
  <r>
    <n v="8823"/>
    <x v="47"/>
    <x v="1"/>
    <n v="36713"/>
    <x v="1"/>
    <x v="13"/>
    <x v="222"/>
    <x v="71"/>
    <s v="Long Visit"/>
    <n v="45"/>
    <n v="6"/>
    <n v="7"/>
    <n v="3"/>
    <n v="3816"/>
    <n v="1"/>
  </r>
  <r>
    <n v="8825"/>
    <x v="28"/>
    <x v="0"/>
    <n v="24858"/>
    <x v="1"/>
    <x v="27"/>
    <x v="223"/>
    <x v="235"/>
    <s v="Long Visit"/>
    <n v="0"/>
    <n v="15"/>
    <n v="6"/>
    <n v="4"/>
    <n v="765"/>
    <n v="1"/>
  </r>
  <r>
    <n v="8830"/>
    <x v="42"/>
    <x v="0"/>
    <n v="131923"/>
    <x v="2"/>
    <x v="44"/>
    <x v="93"/>
    <x v="48"/>
    <s v="Medium Visit"/>
    <n v="83"/>
    <n v="3"/>
    <n v="9"/>
    <n v="0"/>
    <n v="2976"/>
    <n v="1"/>
  </r>
  <r>
    <n v="8831"/>
    <x v="25"/>
    <x v="0"/>
    <n v="24539"/>
    <x v="1"/>
    <x v="11"/>
    <x v="224"/>
    <x v="236"/>
    <s v="Long Visit"/>
    <n v="79"/>
    <n v="18"/>
    <n v="9"/>
    <n v="1"/>
    <n v="413"/>
    <n v="0"/>
  </r>
  <r>
    <n v="8835"/>
    <x v="11"/>
    <x v="1"/>
    <n v="122207"/>
    <x v="2"/>
    <x v="22"/>
    <x v="225"/>
    <x v="237"/>
    <s v="Long Visit"/>
    <n v="78"/>
    <n v="12"/>
    <n v="7"/>
    <n v="3"/>
    <n v="648"/>
    <n v="1"/>
  </r>
  <r>
    <n v="8836"/>
    <x v="11"/>
    <x v="1"/>
    <n v="25364"/>
    <x v="1"/>
    <x v="40"/>
    <x v="226"/>
    <x v="238"/>
    <s v="Long Visit"/>
    <n v="15"/>
    <n v="2"/>
    <n v="5"/>
    <n v="7"/>
    <n v="199"/>
    <n v="1"/>
  </r>
  <r>
    <n v="8838"/>
    <x v="51"/>
    <x v="0"/>
    <n v="79169"/>
    <x v="0"/>
    <x v="18"/>
    <x v="227"/>
    <x v="239"/>
    <s v="Long Visit"/>
    <n v="24"/>
    <n v="16"/>
    <n v="5"/>
    <n v="0"/>
    <n v="431"/>
    <n v="1"/>
  </r>
  <r>
    <n v="8843"/>
    <x v="13"/>
    <x v="1"/>
    <n v="124383"/>
    <x v="2"/>
    <x v="25"/>
    <x v="95"/>
    <x v="153"/>
    <s v="Short Visit"/>
    <n v="28"/>
    <n v="17"/>
    <n v="7"/>
    <n v="9"/>
    <n v="2309"/>
    <n v="1"/>
  </r>
  <r>
    <n v="8848"/>
    <x v="33"/>
    <x v="0"/>
    <n v="56370"/>
    <x v="0"/>
    <x v="31"/>
    <x v="54"/>
    <x v="240"/>
    <s v="Short Visit"/>
    <n v="62"/>
    <n v="0"/>
    <n v="8"/>
    <n v="3"/>
    <n v="2684"/>
    <n v="1"/>
  </r>
  <r>
    <n v="8851"/>
    <x v="31"/>
    <x v="0"/>
    <n v="137136"/>
    <x v="2"/>
    <x v="34"/>
    <x v="211"/>
    <x v="241"/>
    <s v="Long Visit"/>
    <n v="45"/>
    <n v="2"/>
    <n v="6"/>
    <n v="9"/>
    <n v="1724"/>
    <n v="1"/>
  </r>
  <r>
    <n v="8857"/>
    <x v="20"/>
    <x v="0"/>
    <n v="25131"/>
    <x v="1"/>
    <x v="23"/>
    <x v="228"/>
    <x v="242"/>
    <s v="Long Visit"/>
    <n v="61"/>
    <n v="11"/>
    <n v="4"/>
    <n v="0"/>
    <n v="1048"/>
    <n v="1"/>
  </r>
  <r>
    <n v="8861"/>
    <x v="10"/>
    <x v="1"/>
    <n v="77371"/>
    <x v="0"/>
    <x v="42"/>
    <x v="229"/>
    <x v="243"/>
    <s v="Long Visit"/>
    <n v="72"/>
    <n v="9"/>
    <n v="9"/>
    <n v="5"/>
    <n v="1531"/>
    <n v="1"/>
  </r>
  <r>
    <n v="8863"/>
    <x v="49"/>
    <x v="0"/>
    <n v="99139"/>
    <x v="0"/>
    <x v="24"/>
    <x v="104"/>
    <x v="73"/>
    <s v="Short Visit"/>
    <n v="44"/>
    <n v="14"/>
    <n v="2"/>
    <n v="5"/>
    <n v="726"/>
    <n v="0"/>
  </r>
  <r>
    <n v="8864"/>
    <x v="47"/>
    <x v="1"/>
    <n v="36246"/>
    <x v="1"/>
    <x v="18"/>
    <x v="230"/>
    <x v="244"/>
    <s v="Medium Visit"/>
    <n v="84"/>
    <n v="15"/>
    <n v="3"/>
    <n v="5"/>
    <n v="192"/>
    <n v="1"/>
  </r>
  <r>
    <n v="8866"/>
    <x v="25"/>
    <x v="0"/>
    <n v="61209"/>
    <x v="0"/>
    <x v="21"/>
    <x v="231"/>
    <x v="245"/>
    <s v="Medium Visit"/>
    <n v="94"/>
    <n v="12"/>
    <n v="6"/>
    <n v="7"/>
    <n v="2874"/>
    <n v="1"/>
  </r>
  <r>
    <n v="8872"/>
    <x v="32"/>
    <x v="0"/>
    <n v="148038"/>
    <x v="2"/>
    <x v="37"/>
    <x v="232"/>
    <x v="166"/>
    <s v="Medium Visit"/>
    <n v="54"/>
    <n v="8"/>
    <n v="0"/>
    <n v="8"/>
    <n v="2412"/>
    <n v="1"/>
  </r>
  <r>
    <n v="8876"/>
    <x v="21"/>
    <x v="0"/>
    <n v="146560"/>
    <x v="2"/>
    <x v="21"/>
    <x v="233"/>
    <x v="152"/>
    <s v="Medium Visit"/>
    <n v="20"/>
    <n v="9"/>
    <n v="8"/>
    <n v="9"/>
    <n v="3840"/>
    <n v="1"/>
  </r>
  <r>
    <n v="8883"/>
    <x v="37"/>
    <x v="0"/>
    <n v="24192"/>
    <x v="1"/>
    <x v="35"/>
    <x v="234"/>
    <x v="246"/>
    <s v="Long Visit"/>
    <n v="24"/>
    <n v="19"/>
    <n v="3"/>
    <n v="3"/>
    <n v="1561"/>
    <n v="1"/>
  </r>
  <r>
    <n v="8884"/>
    <x v="46"/>
    <x v="0"/>
    <n v="36128"/>
    <x v="1"/>
    <x v="25"/>
    <x v="48"/>
    <x v="247"/>
    <s v="Medium Visit"/>
    <n v="81"/>
    <n v="17"/>
    <n v="6"/>
    <n v="9"/>
    <n v="1704"/>
    <n v="1"/>
  </r>
  <r>
    <n v="8887"/>
    <x v="50"/>
    <x v="0"/>
    <n v="137028"/>
    <x v="2"/>
    <x v="6"/>
    <x v="224"/>
    <x v="248"/>
    <s v="Long Visit"/>
    <n v="88"/>
    <n v="7"/>
    <n v="0"/>
    <n v="8"/>
    <n v="1197"/>
    <n v="1"/>
  </r>
  <r>
    <n v="8889"/>
    <x v="29"/>
    <x v="0"/>
    <n v="145176"/>
    <x v="2"/>
    <x v="12"/>
    <x v="151"/>
    <x v="249"/>
    <s v="Short Visit"/>
    <n v="97"/>
    <n v="3"/>
    <n v="2"/>
    <n v="3"/>
    <n v="2733"/>
    <n v="0"/>
  </r>
  <r>
    <n v="8891"/>
    <x v="27"/>
    <x v="0"/>
    <n v="42778"/>
    <x v="1"/>
    <x v="10"/>
    <x v="235"/>
    <x v="250"/>
    <s v="Long Visit"/>
    <n v="47"/>
    <n v="15"/>
    <n v="3"/>
    <n v="9"/>
    <n v="1497"/>
    <n v="1"/>
  </r>
  <r>
    <n v="8893"/>
    <x v="37"/>
    <x v="0"/>
    <n v="36708"/>
    <x v="1"/>
    <x v="2"/>
    <x v="236"/>
    <x v="251"/>
    <s v="Long Visit"/>
    <n v="2"/>
    <n v="17"/>
    <n v="4"/>
    <n v="7"/>
    <n v="1536"/>
    <n v="1"/>
  </r>
  <r>
    <n v="8897"/>
    <x v="50"/>
    <x v="1"/>
    <n v="59412"/>
    <x v="0"/>
    <x v="24"/>
    <x v="20"/>
    <x v="252"/>
    <s v="Long Visit"/>
    <n v="19"/>
    <n v="0"/>
    <n v="3"/>
    <n v="0"/>
    <n v="4965"/>
    <n v="1"/>
  </r>
  <r>
    <n v="8899"/>
    <x v="30"/>
    <x v="1"/>
    <n v="81196"/>
    <x v="0"/>
    <x v="4"/>
    <x v="237"/>
    <x v="238"/>
    <s v="Long Visit"/>
    <n v="80"/>
    <n v="0"/>
    <n v="3"/>
    <n v="3"/>
    <n v="3062"/>
    <n v="1"/>
  </r>
  <r>
    <n v="8903"/>
    <x v="18"/>
    <x v="1"/>
    <n v="89434"/>
    <x v="0"/>
    <x v="48"/>
    <x v="238"/>
    <x v="253"/>
    <s v="Long Visit"/>
    <n v="97"/>
    <n v="2"/>
    <n v="6"/>
    <n v="4"/>
    <n v="844"/>
    <n v="1"/>
  </r>
  <r>
    <n v="8904"/>
    <x v="51"/>
    <x v="0"/>
    <n v="102755"/>
    <x v="2"/>
    <x v="14"/>
    <x v="13"/>
    <x v="254"/>
    <s v="Long Visit"/>
    <n v="79"/>
    <n v="17"/>
    <n v="2"/>
    <n v="9"/>
    <n v="1403"/>
    <n v="1"/>
  </r>
  <r>
    <n v="8906"/>
    <x v="51"/>
    <x v="0"/>
    <n v="55546"/>
    <x v="0"/>
    <x v="4"/>
    <x v="69"/>
    <x v="231"/>
    <s v="Medium Visit"/>
    <n v="71"/>
    <n v="5"/>
    <n v="2"/>
    <n v="2"/>
    <n v="2618"/>
    <n v="1"/>
  </r>
  <r>
    <n v="8910"/>
    <x v="25"/>
    <x v="0"/>
    <n v="144556"/>
    <x v="2"/>
    <x v="20"/>
    <x v="239"/>
    <x v="255"/>
    <s v="Long Visit"/>
    <n v="37"/>
    <n v="10"/>
    <n v="3"/>
    <n v="2"/>
    <n v="4963"/>
    <n v="1"/>
  </r>
  <r>
    <n v="8911"/>
    <x v="27"/>
    <x v="1"/>
    <n v="98059"/>
    <x v="0"/>
    <x v="47"/>
    <x v="240"/>
    <x v="219"/>
    <s v="Short Visit"/>
    <n v="63"/>
    <n v="4"/>
    <n v="2"/>
    <n v="2"/>
    <n v="506"/>
    <n v="0"/>
  </r>
  <r>
    <n v="8914"/>
    <x v="33"/>
    <x v="0"/>
    <n v="42030"/>
    <x v="1"/>
    <x v="19"/>
    <x v="241"/>
    <x v="256"/>
    <s v="Short Visit"/>
    <n v="91"/>
    <n v="0"/>
    <n v="5"/>
    <n v="0"/>
    <n v="2999"/>
    <n v="0"/>
  </r>
  <r>
    <n v="8916"/>
    <x v="0"/>
    <x v="1"/>
    <n v="60376"/>
    <x v="0"/>
    <x v="18"/>
    <x v="242"/>
    <x v="257"/>
    <s v="Medium Visit"/>
    <n v="60"/>
    <n v="17"/>
    <n v="3"/>
    <n v="8"/>
    <n v="974"/>
    <n v="1"/>
  </r>
  <r>
    <n v="8921"/>
    <x v="32"/>
    <x v="0"/>
    <n v="129518"/>
    <x v="2"/>
    <x v="28"/>
    <x v="243"/>
    <x v="258"/>
    <s v="Short Visit"/>
    <n v="49"/>
    <n v="19"/>
    <n v="2"/>
    <n v="3"/>
    <n v="2701"/>
    <n v="1"/>
  </r>
  <r>
    <n v="8925"/>
    <x v="38"/>
    <x v="1"/>
    <n v="107508"/>
    <x v="2"/>
    <x v="37"/>
    <x v="244"/>
    <x v="259"/>
    <s v="Short Visit"/>
    <n v="10"/>
    <n v="4"/>
    <n v="4"/>
    <n v="9"/>
    <n v="1418"/>
    <n v="1"/>
  </r>
  <r>
    <n v="8926"/>
    <x v="20"/>
    <x v="1"/>
    <n v="45493"/>
    <x v="1"/>
    <x v="6"/>
    <x v="245"/>
    <x v="260"/>
    <s v="Medium Visit"/>
    <n v="37"/>
    <n v="11"/>
    <n v="6"/>
    <n v="2"/>
    <n v="3157"/>
    <n v="1"/>
  </r>
  <r>
    <n v="8927"/>
    <x v="18"/>
    <x v="0"/>
    <n v="94861"/>
    <x v="0"/>
    <x v="48"/>
    <x v="24"/>
    <x v="261"/>
    <s v="Medium Visit"/>
    <n v="55"/>
    <n v="12"/>
    <n v="8"/>
    <n v="1"/>
    <n v="3170"/>
    <n v="1"/>
  </r>
  <r>
    <n v="8931"/>
    <x v="10"/>
    <x v="0"/>
    <n v="56775"/>
    <x v="0"/>
    <x v="28"/>
    <x v="246"/>
    <x v="262"/>
    <s v="Short Visit"/>
    <n v="69"/>
    <n v="3"/>
    <n v="2"/>
    <n v="7"/>
    <n v="3277"/>
    <n v="1"/>
  </r>
  <r>
    <n v="8933"/>
    <x v="10"/>
    <x v="0"/>
    <n v="105909"/>
    <x v="2"/>
    <x v="11"/>
    <x v="247"/>
    <x v="263"/>
    <s v="Long Visit"/>
    <n v="89"/>
    <n v="17"/>
    <n v="3"/>
    <n v="5"/>
    <n v="4504"/>
    <n v="1"/>
  </r>
  <r>
    <n v="8938"/>
    <x v="30"/>
    <x v="1"/>
    <n v="142402"/>
    <x v="2"/>
    <x v="17"/>
    <x v="248"/>
    <x v="141"/>
    <s v="Long Visit"/>
    <n v="80"/>
    <n v="9"/>
    <n v="7"/>
    <n v="2"/>
    <n v="1573"/>
    <n v="1"/>
  </r>
  <r>
    <n v="8949"/>
    <x v="25"/>
    <x v="0"/>
    <n v="27014"/>
    <x v="1"/>
    <x v="32"/>
    <x v="249"/>
    <x v="264"/>
    <s v="Long Visit"/>
    <n v="47"/>
    <n v="18"/>
    <n v="1"/>
    <n v="9"/>
    <n v="3317"/>
    <n v="1"/>
  </r>
  <r>
    <n v="8952"/>
    <x v="23"/>
    <x v="1"/>
    <n v="136045"/>
    <x v="2"/>
    <x v="26"/>
    <x v="250"/>
    <x v="265"/>
    <s v="Long Visit"/>
    <n v="46"/>
    <n v="12"/>
    <n v="0"/>
    <n v="7"/>
    <n v="3280"/>
    <n v="1"/>
  </r>
  <r>
    <n v="8957"/>
    <x v="23"/>
    <x v="0"/>
    <n v="149067"/>
    <x v="2"/>
    <x v="23"/>
    <x v="251"/>
    <x v="266"/>
    <s v="Long Visit"/>
    <n v="33"/>
    <n v="8"/>
    <n v="0"/>
    <n v="7"/>
    <n v="728"/>
    <n v="1"/>
  </r>
  <r>
    <n v="8960"/>
    <x v="13"/>
    <x v="1"/>
    <n v="28219"/>
    <x v="1"/>
    <x v="4"/>
    <x v="252"/>
    <x v="166"/>
    <s v="Medium Visit"/>
    <n v="84"/>
    <n v="18"/>
    <n v="3"/>
    <n v="4"/>
    <n v="2151"/>
    <n v="1"/>
  </r>
  <r>
    <n v="8963"/>
    <x v="6"/>
    <x v="0"/>
    <n v="129034"/>
    <x v="2"/>
    <x v="22"/>
    <x v="42"/>
    <x v="267"/>
    <s v="Short Visit"/>
    <n v="41"/>
    <n v="8"/>
    <n v="8"/>
    <n v="1"/>
    <n v="3348"/>
    <n v="0"/>
  </r>
  <r>
    <n v="8965"/>
    <x v="50"/>
    <x v="0"/>
    <n v="39276"/>
    <x v="1"/>
    <x v="4"/>
    <x v="201"/>
    <x v="65"/>
    <s v="Long Visit"/>
    <n v="68"/>
    <n v="10"/>
    <n v="7"/>
    <n v="4"/>
    <n v="3115"/>
    <n v="1"/>
  </r>
  <r>
    <n v="8973"/>
    <x v="31"/>
    <x v="1"/>
    <n v="116487"/>
    <x v="2"/>
    <x v="34"/>
    <x v="253"/>
    <x v="268"/>
    <s v="Short Visit"/>
    <n v="67"/>
    <n v="19"/>
    <n v="9"/>
    <n v="4"/>
    <n v="3240"/>
    <n v="1"/>
  </r>
  <r>
    <n v="8980"/>
    <x v="23"/>
    <x v="0"/>
    <n v="45412"/>
    <x v="1"/>
    <x v="5"/>
    <x v="254"/>
    <x v="269"/>
    <s v="Medium Visit"/>
    <n v="55"/>
    <n v="5"/>
    <n v="4"/>
    <n v="1"/>
    <n v="1391"/>
    <n v="1"/>
  </r>
  <r>
    <n v="8982"/>
    <x v="32"/>
    <x v="0"/>
    <n v="64898"/>
    <x v="0"/>
    <x v="22"/>
    <x v="255"/>
    <x v="270"/>
    <s v="Long Visit"/>
    <n v="64"/>
    <n v="0"/>
    <n v="7"/>
    <n v="5"/>
    <n v="1634"/>
    <n v="1"/>
  </r>
  <r>
    <n v="8984"/>
    <x v="2"/>
    <x v="1"/>
    <n v="23405"/>
    <x v="1"/>
    <x v="41"/>
    <x v="256"/>
    <x v="271"/>
    <s v="Medium Visit"/>
    <n v="39"/>
    <n v="0"/>
    <n v="8"/>
    <n v="4"/>
    <n v="2302"/>
    <n v="1"/>
  </r>
  <r>
    <n v="8986"/>
    <x v="22"/>
    <x v="0"/>
    <n v="30862"/>
    <x v="1"/>
    <x v="41"/>
    <x v="257"/>
    <x v="272"/>
    <s v="Long Visit"/>
    <n v="26"/>
    <n v="8"/>
    <n v="1"/>
    <n v="2"/>
    <n v="4462"/>
    <n v="1"/>
  </r>
  <r>
    <n v="8987"/>
    <x v="23"/>
    <x v="0"/>
    <n v="74679"/>
    <x v="0"/>
    <x v="36"/>
    <x v="258"/>
    <x v="273"/>
    <s v="Medium Visit"/>
    <n v="66"/>
    <n v="9"/>
    <n v="9"/>
    <n v="4"/>
    <n v="3912"/>
    <n v="1"/>
  </r>
  <r>
    <n v="8988"/>
    <x v="21"/>
    <x v="0"/>
    <n v="48688"/>
    <x v="1"/>
    <x v="3"/>
    <x v="259"/>
    <x v="274"/>
    <s v="Medium Visit"/>
    <n v="99"/>
    <n v="11"/>
    <n v="5"/>
    <n v="3"/>
    <n v="4644"/>
    <n v="1"/>
  </r>
  <r>
    <n v="8989"/>
    <x v="30"/>
    <x v="1"/>
    <n v="68017"/>
    <x v="0"/>
    <x v="37"/>
    <x v="260"/>
    <x v="275"/>
    <s v="Medium Visit"/>
    <n v="93"/>
    <n v="3"/>
    <n v="3"/>
    <n v="7"/>
    <n v="2385"/>
    <n v="0"/>
  </r>
  <r>
    <n v="8991"/>
    <x v="10"/>
    <x v="0"/>
    <n v="32939"/>
    <x v="1"/>
    <x v="43"/>
    <x v="261"/>
    <x v="29"/>
    <s v="Medium Visit"/>
    <n v="73"/>
    <n v="10"/>
    <n v="7"/>
    <n v="9"/>
    <n v="2070"/>
    <n v="1"/>
  </r>
  <r>
    <n v="8995"/>
    <x v="0"/>
    <x v="1"/>
    <n v="59585"/>
    <x v="0"/>
    <x v="44"/>
    <x v="31"/>
    <x v="276"/>
    <s v="Short Visit"/>
    <n v="97"/>
    <n v="19"/>
    <n v="1"/>
    <n v="0"/>
    <n v="2229"/>
    <n v="1"/>
  </r>
  <r>
    <n v="10423"/>
    <x v="27"/>
    <x v="0"/>
    <n v="92317"/>
    <x v="0"/>
    <x v="23"/>
    <x v="262"/>
    <x v="277"/>
    <s v="Medium Visit"/>
    <n v="68"/>
    <n v="5"/>
    <n v="2"/>
    <n v="7"/>
    <n v="327"/>
    <n v="1"/>
  </r>
  <r>
    <n v="11432"/>
    <x v="36"/>
    <x v="0"/>
    <n v="23582"/>
    <x v="1"/>
    <x v="8"/>
    <x v="263"/>
    <x v="278"/>
    <s v="Medium Visit"/>
    <n v="0"/>
    <n v="7"/>
    <n v="9"/>
    <n v="6"/>
    <n v="195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DDF7EB-B6C2-47E4-B826-AD0E463F02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I11" firstHeaderRow="0" firstDataRow="1" firstDataCol="1"/>
  <pivotFields count="16">
    <pivotField showAll="0"/>
    <pivotField axis="axisRow" showAll="0">
      <items count="6">
        <item x="2"/>
        <item x="0"/>
        <item x="1"/>
        <item x="3"/>
        <item x="4"/>
        <item t="default"/>
      </items>
    </pivotField>
    <pivotField showAll="0">
      <items count="5">
        <item x="1"/>
        <item x="2"/>
        <item x="0"/>
        <item x="3"/>
        <item t="default"/>
      </items>
    </pivotField>
    <pivotField dataField="1" showAll="0"/>
    <pivotField showAll="0"/>
    <pivotField dataField="1"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Total Ad spend" fld="3" baseField="2" baseItem="0" numFmtId="1"/>
    <dataField name="Total Conversions" fld="12" baseField="2" baseItem="0"/>
    <dataField name="Average of ConversionRate" fld="5" subtotal="average" baseField="1"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F9A426-75F7-4BEB-8DF8-9D01977EFB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Conversion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5F5C7-84F9-4630-94F9-B7406752B2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ConversionRate" fld="5" subtotal="average"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5D2B8D-0350-401C-97B8-A2C0563E93CD}"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5:R11" firstHeaderRow="0" firstDataRow="1" firstDataCol="1"/>
  <pivotFields count="16">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4"/>
    </i>
    <i>
      <x v="3"/>
    </i>
    <i>
      <x v="2"/>
    </i>
    <i t="grand">
      <x/>
    </i>
  </rowItems>
  <colFields count="1">
    <field x="-2"/>
  </colFields>
  <colItems count="2">
    <i>
      <x/>
    </i>
    <i i="1">
      <x v="1"/>
    </i>
  </colItems>
  <dataFields count="2">
    <dataField name="Sum of WebsiteVisits" fld="6" baseField="0" baseItem="0"/>
    <dataField name="Sum of Conversion"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4"/>
          </reference>
        </references>
      </pivotArea>
    </chartFormat>
    <chartFormat chart="0" format="3">
      <pivotArea type="data" outline="0" fieldPosition="0">
        <references count="2">
          <reference field="4294967294" count="1" selected="0">
            <x v="1"/>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7DF3A9-D2DE-4B14-ADFA-A4354F8B7467}" name="PivotTable3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U5:W10" firstHeaderRow="0" firstDataRow="1" firstDataCol="1"/>
  <pivotFields count="16">
    <pivotField compact="0" outline="0" showAll="0" defaultSubtotal="0"/>
    <pivotField axis="axisRow" compact="0" outline="0" showAll="0" defaultSubtotal="0">
      <items count="5">
        <item x="2"/>
        <item x="0"/>
        <item x="1"/>
        <item x="3"/>
        <item x="4"/>
      </items>
    </pivotField>
    <pivotField compact="0" outline="0" showAll="0" defaultSubtotal="0">
      <items count="4">
        <item x="1"/>
        <item x="2"/>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dragToRow="0" dragToCol="0" dragToPage="0" showAll="0" defaultSubtotal="0"/>
    <pivotField dataField="1" compact="0" outline="0" subtotalTop="0" dragToRow="0" dragToCol="0" dragToPage="0" showAll="0" defaultSubtotal="0"/>
    <pivotField compact="0" outline="0" subtotalTop="0" dragToRow="0" dragToCol="0" dragToPage="0" showAll="0" defaultSubtotal="0"/>
  </pivotFields>
  <rowFields count="1">
    <field x="1"/>
  </rowFields>
  <rowItems count="5">
    <i>
      <x/>
    </i>
    <i>
      <x v="1"/>
    </i>
    <i>
      <x v="2"/>
    </i>
    <i>
      <x v="3"/>
    </i>
    <i>
      <x v="4"/>
    </i>
  </rowItems>
  <colFields count="1">
    <field x="-2"/>
  </colFields>
  <colItems count="2">
    <i>
      <x/>
    </i>
    <i i="1">
      <x v="1"/>
    </i>
  </colItems>
  <dataFields count="2">
    <dataField name="Sum of Conversion" fld="12" baseField="0" baseItem="0"/>
    <dataField name="CPA ($)" fld="14" baseField="2" baseItem="0" numFmtId="167"/>
  </dataFields>
  <formats count="2">
    <format dxfId="3">
      <pivotArea field="1" type="button" dataOnly="0" labelOnly="1" outline="0" axis="axisRow" fieldPosition="0"/>
    </format>
    <format dxfId="2">
      <pivotArea outline="0" fieldPosition="0">
        <references count="1">
          <reference field="4294967294" count="1">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B85FB5-ABD9-4651-9219-4007A5A71F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Blended CPA" fld="14" baseField="0" baseItem="0" numFmtId="166"/>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729B02-53C4-44EB-B496-AC468F2F841C}"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22:G28" firstHeaderRow="1" firstDataRow="1" firstDataCol="1"/>
  <pivotFields count="16">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6">
    <i>
      <x v="4"/>
    </i>
    <i>
      <x/>
    </i>
    <i>
      <x v="3"/>
    </i>
    <i>
      <x v="1"/>
    </i>
    <i>
      <x v="2"/>
    </i>
    <i t="grand">
      <x/>
    </i>
  </rowItems>
  <colItems count="1">
    <i/>
  </colItems>
  <dataFields count="1">
    <dataField name="Sum of ORIGINAL CPA" fld="15" baseField="0" baseItem="0" numFmtId="165"/>
  </dataFields>
  <chartFormats count="2">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2552E-6685-475B-8B12-9592E4C6ED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5" firstHeaderRow="0"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Total ad spend" fld="3" baseField="0" baseItem="0" numFmtId="169"/>
    <dataField name="Average of AdSpend"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A5832-1CE6-4D86-A901-A2C6D65B71E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I17" firstHeaderRow="0"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showAll="0"/>
    <pivotField showAll="0"/>
    <pivotField showAll="0"/>
    <pivotField dataField="1" showAll="0"/>
    <pivotField showAll="0"/>
    <pivotField dataField="1" showAll="0"/>
    <pivotField dataField="1"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WebsiteVisits" fld="6" baseField="0" baseItem="0"/>
    <dataField name="Sum of EmailOpens" fld="8" baseField="0" baseItem="0"/>
    <dataField name="Sum of EmailClicks" fld="9" baseField="0" baseItem="0"/>
    <dataField name="Sum of Conversion"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8FB338-B7C6-4F84-ADC6-84849FFF6A0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B38" firstHeaderRow="1" firstDataRow="1" firstDataCol="0"/>
  <pivotFields count="16">
    <pivotField showAll="0"/>
    <pivotField showAll="0">
      <items count="6">
        <item x="2"/>
        <item x="0"/>
        <item x="1"/>
        <item x="3"/>
        <item x="4"/>
        <item t="default"/>
      </items>
    </pivotField>
    <pivotField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WebsiteVis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CDBE7F-C79F-448A-AAF5-7CE7CB9BE26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8:G11" firstHeaderRow="1" firstDataRow="1" firstDataCol="1"/>
  <pivotFields count="15">
    <pivotField dataField="1" showAll="0"/>
    <pivotField showAll="0">
      <items count="16">
        <item x="0"/>
        <item x="1"/>
        <item x="2"/>
        <item x="3"/>
        <item x="4"/>
        <item x="5"/>
        <item x="6"/>
        <item x="7"/>
        <item x="8"/>
        <item x="9"/>
        <item x="10"/>
        <item x="11"/>
        <item x="12"/>
        <item x="13"/>
        <item x="14"/>
        <item t="default"/>
      </items>
    </pivotField>
    <pivotField axis="axisRow" showAll="0">
      <items count="3">
        <item x="0"/>
        <item x="1"/>
        <item t="default"/>
      </items>
    </pivotField>
    <pivotField showAll="0"/>
    <pivotField showAll="0">
      <items count="4">
        <item x="2"/>
        <item x="1"/>
        <item x="0"/>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ustomerID" fld="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159845-1D1C-4C4A-9929-0F2C80752A5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TimeOnSite" fld="7" subtotal="average" baseField="0" baseItem="0" numFmtId="2"/>
  </dataFields>
  <formats count="2">
    <format dxfId="1">
      <pivotArea dataOnly="0" labelOnly="1" outline="0" axis="axisValues"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39941E-E75F-4408-A8F4-23B95E9DC12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5">
    <pivotField dataField="1"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AD2C96-FB29-4296-B6EC-1C3AD9F4DB08}" name="PivotTable3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Group">
  <location ref="V3:Y16" firstHeaderRow="0" firstDataRow="1" firstDataCol="1"/>
  <pivotFields count="15">
    <pivotField dataField="1" showAll="0" defaultSubtotal="0"/>
    <pivotField axis="axisRow" showAll="0" sortType="ascending" defaultSubtotal="0">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showAll="0" defaultSubtotal="0">
      <items count="2">
        <item x="0"/>
        <item x="1"/>
      </items>
    </pivotField>
    <pivotField showAll="0" defaultSubtotal="0"/>
    <pivotField showAll="0" defaultSubtotal="0">
      <items count="3">
        <item x="2"/>
        <item x="1"/>
        <item x="0"/>
      </items>
    </pivotField>
    <pivotField showAll="0" defaultSubtotal="0"/>
    <pivotField showAll="0" defaultSubtotal="0"/>
    <pivotField dataField="1" showAll="0" defaultSubtotal="0">
      <items count="7">
        <item x="0"/>
        <item x="1"/>
        <item x="2"/>
        <item x="3"/>
        <item x="4"/>
        <item x="5"/>
        <item x="6"/>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s>
  <rowFields count="1">
    <field x="1"/>
  </rowFields>
  <rowItems count="13">
    <i>
      <x v="5"/>
    </i>
    <i>
      <x v="4"/>
    </i>
    <i>
      <x v="3"/>
    </i>
    <i>
      <x v="11"/>
    </i>
    <i>
      <x v="8"/>
    </i>
    <i>
      <x v="10"/>
    </i>
    <i>
      <x v="12"/>
    </i>
    <i>
      <x v="1"/>
    </i>
    <i>
      <x v="13"/>
    </i>
    <i>
      <x v="2"/>
    </i>
    <i>
      <x v="9"/>
    </i>
    <i>
      <x v="6"/>
    </i>
    <i>
      <x v="7"/>
    </i>
  </rowItems>
  <colFields count="1">
    <field x="-2"/>
  </colFields>
  <colItems count="3">
    <i>
      <x/>
    </i>
    <i i="1">
      <x v="1"/>
    </i>
    <i i="2">
      <x v="2"/>
    </i>
  </colItems>
  <dataFields count="3">
    <dataField name="Total Customers" fld="0" subtotal="count" baseField="1" baseItem="1"/>
    <dataField name="Total Conversions" fld="14" baseField="1" baseItem="1"/>
    <dataField name="Avg Time on Site" fld="7" subtotal="average" baseField="1" baseItem="1" numFmtId="2"/>
  </dataField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B6E488-4062-44B4-A134-6B98137150A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dataField="1"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PagesPerVisit"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E760C8-13AB-4EC2-A7C7-3E76E637FFA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LoyaltyPoints"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741B708-1BF8-4031-A403-1D4AE35BCCE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7" firstHeaderRow="1" firstDataRow="1" firstDataCol="1"/>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axis="axisRow" showAll="0">
      <items count="4">
        <item x="2"/>
        <item x="1"/>
        <item x="0"/>
        <item t="default"/>
      </items>
    </pivotField>
    <pivotField showAll="0"/>
    <pivotField dataField="1" showAll="0">
      <items count="265">
        <item x="12"/>
        <item x="228"/>
        <item x="100"/>
        <item x="220"/>
        <item x="127"/>
        <item x="202"/>
        <item x="133"/>
        <item x="132"/>
        <item x="55"/>
        <item x="140"/>
        <item x="153"/>
        <item x="192"/>
        <item x="150"/>
        <item x="136"/>
        <item x="129"/>
        <item x="131"/>
        <item x="223"/>
        <item x="70"/>
        <item x="134"/>
        <item x="118"/>
        <item x="187"/>
        <item x="198"/>
        <item x="104"/>
        <item x="11"/>
        <item x="38"/>
        <item x="35"/>
        <item x="1"/>
        <item x="250"/>
        <item x="178"/>
        <item x="259"/>
        <item x="117"/>
        <item x="105"/>
        <item x="191"/>
        <item x="0"/>
        <item x="199"/>
        <item x="87"/>
        <item x="171"/>
        <item x="86"/>
        <item x="76"/>
        <item x="14"/>
        <item x="138"/>
        <item x="19"/>
        <item x="123"/>
        <item x="82"/>
        <item x="206"/>
        <item x="130"/>
        <item x="108"/>
        <item x="260"/>
        <item x="125"/>
        <item x="8"/>
        <item x="46"/>
        <item x="151"/>
        <item x="144"/>
        <item x="39"/>
        <item x="194"/>
        <item x="49"/>
        <item x="145"/>
        <item x="167"/>
        <item x="221"/>
        <item x="146"/>
        <item x="88"/>
        <item x="236"/>
        <item x="218"/>
        <item x="6"/>
        <item x="176"/>
        <item x="10"/>
        <item x="201"/>
        <item x="184"/>
        <item x="18"/>
        <item x="45"/>
        <item x="208"/>
        <item x="217"/>
        <item x="106"/>
        <item x="67"/>
        <item x="232"/>
        <item x="235"/>
        <item x="142"/>
        <item x="251"/>
        <item x="207"/>
        <item x="240"/>
        <item x="262"/>
        <item x="241"/>
        <item x="31"/>
        <item x="21"/>
        <item x="68"/>
        <item x="99"/>
        <item x="231"/>
        <item x="34"/>
        <item x="9"/>
        <item x="121"/>
        <item x="177"/>
        <item x="29"/>
        <item x="69"/>
        <item x="255"/>
        <item x="245"/>
        <item x="263"/>
        <item x="179"/>
        <item x="103"/>
        <item x="168"/>
        <item x="193"/>
        <item x="32"/>
        <item x="37"/>
        <item x="102"/>
        <item x="17"/>
        <item x="219"/>
        <item x="114"/>
        <item x="196"/>
        <item x="52"/>
        <item x="209"/>
        <item x="205"/>
        <item x="96"/>
        <item x="188"/>
        <item x="124"/>
        <item x="81"/>
        <item x="78"/>
        <item x="27"/>
        <item x="210"/>
        <item x="41"/>
        <item x="222"/>
        <item x="119"/>
        <item x="226"/>
        <item x="62"/>
        <item x="20"/>
        <item x="152"/>
        <item x="63"/>
        <item x="43"/>
        <item x="186"/>
        <item x="225"/>
        <item x="155"/>
        <item x="33"/>
        <item x="44"/>
        <item x="147"/>
        <item x="59"/>
        <item x="234"/>
        <item x="227"/>
        <item x="107"/>
        <item x="215"/>
        <item x="197"/>
        <item x="75"/>
        <item x="72"/>
        <item x="239"/>
        <item x="40"/>
        <item x="77"/>
        <item x="84"/>
        <item x="80"/>
        <item x="174"/>
        <item x="122"/>
        <item x="257"/>
        <item x="200"/>
        <item x="66"/>
        <item x="175"/>
        <item x="160"/>
        <item x="157"/>
        <item x="111"/>
        <item x="258"/>
        <item x="48"/>
        <item x="22"/>
        <item x="229"/>
        <item x="47"/>
        <item x="79"/>
        <item x="233"/>
        <item x="252"/>
        <item x="24"/>
        <item x="172"/>
        <item x="161"/>
        <item x="23"/>
        <item x="73"/>
        <item x="94"/>
        <item x="148"/>
        <item x="249"/>
        <item x="28"/>
        <item x="243"/>
        <item x="143"/>
        <item x="182"/>
        <item x="170"/>
        <item x="85"/>
        <item x="26"/>
        <item x="16"/>
        <item x="5"/>
        <item x="204"/>
        <item x="92"/>
        <item x="195"/>
        <item x="137"/>
        <item x="126"/>
        <item x="154"/>
        <item x="53"/>
        <item x="128"/>
        <item x="110"/>
        <item x="244"/>
        <item x="4"/>
        <item x="214"/>
        <item x="113"/>
        <item x="139"/>
        <item x="57"/>
        <item x="212"/>
        <item x="95"/>
        <item x="51"/>
        <item x="50"/>
        <item x="25"/>
        <item x="164"/>
        <item x="162"/>
        <item x="141"/>
        <item x="36"/>
        <item x="261"/>
        <item x="213"/>
        <item x="242"/>
        <item x="180"/>
        <item x="60"/>
        <item x="173"/>
        <item x="101"/>
        <item x="253"/>
        <item x="93"/>
        <item x="166"/>
        <item x="58"/>
        <item x="183"/>
        <item x="83"/>
        <item x="61"/>
        <item x="116"/>
        <item x="230"/>
        <item x="74"/>
        <item x="247"/>
        <item x="246"/>
        <item x="181"/>
        <item x="156"/>
        <item x="56"/>
        <item x="3"/>
        <item x="224"/>
        <item x="163"/>
        <item x="149"/>
        <item x="15"/>
        <item x="248"/>
        <item x="90"/>
        <item x="13"/>
        <item x="165"/>
        <item x="112"/>
        <item x="2"/>
        <item x="189"/>
        <item x="91"/>
        <item x="109"/>
        <item x="203"/>
        <item x="71"/>
        <item x="169"/>
        <item x="64"/>
        <item x="185"/>
        <item x="42"/>
        <item x="211"/>
        <item x="159"/>
        <item x="89"/>
        <item x="115"/>
        <item x="238"/>
        <item x="256"/>
        <item x="97"/>
        <item x="216"/>
        <item x="190"/>
        <item x="120"/>
        <item x="135"/>
        <item x="54"/>
        <item x="237"/>
        <item x="7"/>
        <item x="254"/>
        <item x="158"/>
        <item x="98"/>
        <item x="65"/>
        <item x="3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PagesPerVisit" fld="6" subtotal="average" baseField="4" baseItem="0" numFmtId="2"/>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987E6A-48FD-41FC-B791-8E5BA84C8A1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Conversio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CCBF981-4DEF-42A5-B230-5BD89E3F6CEF}"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9" firstHeaderRow="1" firstDataRow="1" firstDataCol="1"/>
  <pivotFields count="15">
    <pivotField dataField="1"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s>
  <rowFields count="1">
    <field x="7"/>
  </rowFields>
  <rowItems count="6">
    <i>
      <x v="1"/>
    </i>
    <i>
      <x v="2"/>
    </i>
    <i>
      <x v="3"/>
    </i>
    <i>
      <x v="4"/>
    </i>
    <i>
      <x v="5"/>
    </i>
    <i t="grand">
      <x/>
    </i>
  </rowItems>
  <colItems count="1">
    <i/>
  </colItems>
  <dataFields count="1">
    <dataField name="Count of CustomerID" fld="0" subtotal="count" baseField="7"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2"/>
          </reference>
        </references>
      </pivotArea>
    </chartFormat>
    <chartFormat chart="1" format="8">
      <pivotArea type="data" outline="0" fieldPosition="0">
        <references count="2">
          <reference field="4294967294" count="1" selected="0">
            <x v="0"/>
          </reference>
          <reference field="7" count="1" selected="0">
            <x v="3"/>
          </reference>
        </references>
      </pivotArea>
    </chartFormat>
    <chartFormat chart="1" format="9">
      <pivotArea type="data" outline="0" fieldPosition="0">
        <references count="2">
          <reference field="4294967294" count="1" selected="0">
            <x v="0"/>
          </reference>
          <reference field="7"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3" format="13">
      <pivotArea type="data" outline="0" fieldPosition="0">
        <references count="2">
          <reference field="4294967294" count="1" selected="0">
            <x v="0"/>
          </reference>
          <reference field="7" count="1" selected="0">
            <x v="3"/>
          </reference>
        </references>
      </pivotArea>
    </chartFormat>
    <chartFormat chart="3" format="1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D3C6A07-9356-475C-905D-47504CE2AD3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4" firstHeaderRow="0" firstDataRow="1" firstDataCol="0"/>
  <pivotFields count="15">
    <pivotField showAll="0"/>
    <pivotField showAll="0">
      <items count="16">
        <item x="0"/>
        <item x="1"/>
        <item x="2"/>
        <item x="3"/>
        <item x="4"/>
        <item x="5"/>
        <item x="6"/>
        <item x="7"/>
        <item x="8"/>
        <item x="9"/>
        <item x="10"/>
        <item x="11"/>
        <item x="12"/>
        <item x="13"/>
        <item x="14"/>
        <item t="default"/>
      </items>
    </pivotField>
    <pivotField showAll="0">
      <items count="3">
        <item x="0"/>
        <item x="1"/>
        <item t="default"/>
      </items>
    </pivotField>
    <pivotField showAll="0"/>
    <pivotField showAll="0">
      <items count="4">
        <item x="2"/>
        <item x="1"/>
        <item x="0"/>
        <item t="default"/>
      </items>
    </pivotField>
    <pivotField dataField="1" showAll="0">
      <items count="51">
        <item x="0"/>
        <item x="35"/>
        <item x="22"/>
        <item x="31"/>
        <item x="47"/>
        <item x="42"/>
        <item x="19"/>
        <item x="6"/>
        <item x="3"/>
        <item x="38"/>
        <item x="44"/>
        <item x="25"/>
        <item x="36"/>
        <item x="2"/>
        <item x="23"/>
        <item x="28"/>
        <item x="18"/>
        <item x="45"/>
        <item x="30"/>
        <item x="34"/>
        <item x="4"/>
        <item x="11"/>
        <item x="14"/>
        <item x="12"/>
        <item x="10"/>
        <item x="9"/>
        <item x="29"/>
        <item x="39"/>
        <item x="48"/>
        <item x="33"/>
        <item x="49"/>
        <item x="24"/>
        <item x="32"/>
        <item x="26"/>
        <item x="20"/>
        <item x="7"/>
        <item x="27"/>
        <item x="15"/>
        <item x="21"/>
        <item x="8"/>
        <item x="41"/>
        <item x="40"/>
        <item x="1"/>
        <item x="16"/>
        <item x="5"/>
        <item x="37"/>
        <item x="13"/>
        <item x="46"/>
        <item x="43"/>
        <item x="17"/>
        <item t="default"/>
      </items>
    </pivotField>
    <pivotField showAll="0"/>
    <pivotField showAll="0">
      <items count="8">
        <item x="0"/>
        <item x="1"/>
        <item x="2"/>
        <item x="3"/>
        <item x="4"/>
        <item x="5"/>
        <item x="6"/>
        <item t="default"/>
      </items>
    </pivotField>
    <pivotField showAll="0"/>
    <pivotField showAll="0"/>
    <pivotField dataField="1" showAll="0"/>
    <pivotField dataField="1" showAll="0"/>
    <pivotField showAll="0"/>
    <pivotField showAll="0"/>
    <pivotField dataField="1" showAll="0"/>
  </pivotFields>
  <rowItems count="1">
    <i/>
  </rowItems>
  <colFields count="1">
    <field x="-2"/>
  </colFields>
  <colItems count="4">
    <i>
      <x/>
    </i>
    <i i="1">
      <x v="1"/>
    </i>
    <i i="2">
      <x v="2"/>
    </i>
    <i i="3">
      <x v="3"/>
    </i>
  </colItems>
  <dataFields count="4">
    <dataField name="Sum of WebsiteVisits" fld="5" baseField="0" baseItem="0"/>
    <dataField name="Sum of EmailOpens" fld="10" baseField="0" baseItem="0"/>
    <dataField name="Sum of EmailClicks" fld="11" baseField="0" baseItem="0"/>
    <dataField name="Sum of Conversio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3E258CEC-A0F5-4365-871E-CD160CCECB26}" autoFormatId="16" applyNumberFormats="0" applyBorderFormats="0" applyFontFormats="0" applyPatternFormats="0" applyAlignmentFormats="0" applyWidthHeightFormats="0">
  <queryTableRefresh nextId="16">
    <queryTableFields count="15">
      <queryTableField id="1" name="CustomerID" tableColumnId="1"/>
      <queryTableField id="2" name="Age" tableColumnId="2"/>
      <queryTableField id="3" name="Gender" tableColumnId="3"/>
      <queryTableField id="4" name="Income" tableColumnId="4"/>
      <queryTableField id="14" dataBound="0" tableColumnId="14"/>
      <queryTableField id="5" name="WebsiteVisits" tableColumnId="5"/>
      <queryTableField id="6" name="PagesPerVisit" tableColumnId="6"/>
      <queryTableField id="7" name="TimeOnSite" tableColumnId="7"/>
      <queryTableField id="15" dataBound="0" tableColumnId="15"/>
      <queryTableField id="8" name="SocialShares" tableColumnId="8"/>
      <queryTableField id="9" name="EmailOpens" tableColumnId="9"/>
      <queryTableField id="10" name="EmailClicks" tableColumnId="10"/>
      <queryTableField id="11" name="PreviousPurchases" tableColumnId="11"/>
      <queryTableField id="12" name="LoyaltyPoints" tableColumnId="12"/>
      <queryTableField id="13" name="Conversion"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4D58725-6CDF-4849-9714-997AD792DB97}" autoFormatId="16" applyNumberFormats="0" applyBorderFormats="0" applyFontFormats="0" applyPatternFormats="0" applyAlignmentFormats="0" applyWidthHeightFormats="0">
  <queryTableRefresh nextId="25">
    <queryTableFields count="13">
      <queryTableField id="1" name="CustomerID" tableColumnId="1"/>
      <queryTableField id="3" name="CampaignChannel" tableColumnId="3"/>
      <queryTableField id="4" name="CampaignType" tableColumnId="4"/>
      <queryTableField id="5" name="AdSpend" tableColumnId="5"/>
      <queryTableField id="6" name="ClickThroughRate" tableColumnId="6"/>
      <queryTableField id="7" name="ConversionRate" tableColumnId="7"/>
      <queryTableField id="8" name="WebsiteVisits" tableColumnId="8"/>
      <queryTableField id="9" name="SocialShares" tableColumnId="9"/>
      <queryTableField id="10" name="EmailOpens" tableColumnId="10"/>
      <queryTableField id="11" name="EmailClicks" tableColumnId="11"/>
      <queryTableField id="12" name="AdvertisingPlatform" tableColumnId="12"/>
      <queryTableField id="13" name="AdvertisingTool" tableColumnId="13"/>
      <queryTableField id="14" name="Conversion" tableColumnId="14"/>
    </queryTableFields>
    <queryTableDeletedFields count="8">
      <deletedField name="ROI"/>
      <deletedField name="Income"/>
      <deletedField name="CPA"/>
      <deletedField name="ROI"/>
      <deletedField name="Income"/>
      <deletedField name="CPA"/>
      <deletedField name="ROI"/>
      <deletedField name="Incom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B6A9179F-E47C-4AA3-8017-654C943324E0}" autoFormatId="16" applyNumberFormats="0" applyBorderFormats="0" applyFontFormats="0" applyPatternFormats="0" applyAlignmentFormats="0" applyWidthHeightFormats="0">
  <queryTableRefresh nextId="23">
    <queryTableFields count="21">
      <queryTableField id="1" name="CustomerID" tableColumnId="1"/>
      <queryTableField id="2" name="Age" tableColumnId="2"/>
      <queryTableField id="3" name="Gender" tableColumnId="3"/>
      <queryTableField id="4" name="Income" tableColumnId="4"/>
      <queryTableField id="5" name="CampaignChannel" tableColumnId="5"/>
      <queryTableField id="6" name="CampaignType" tableColumnId="6"/>
      <queryTableField id="7" name="AdSpend" tableColumnId="7"/>
      <queryTableField id="8" name="ClickThroughRate" tableColumnId="8"/>
      <queryTableField id="9" name="ConversionRate" tableColumnId="9"/>
      <queryTableField id="10" name="WebsiteVisits" tableColumnId="10"/>
      <queryTableField id="11" name="PagesPerVisit" tableColumnId="11"/>
      <queryTableField id="12" name="TimeOnSite" tableColumnId="12"/>
      <queryTableField id="13" name="SocialShares" tableColumnId="13"/>
      <queryTableField id="14" name="EmailOpens" tableColumnId="14"/>
      <queryTableField id="15" name="EmailClicks" tableColumnId="15"/>
      <queryTableField id="16" name="PreviousPurchases" tableColumnId="16"/>
      <queryTableField id="17" name="LoyaltyPoints" tableColumnId="17"/>
      <queryTableField id="18" name="AdvertisingPlatform" tableColumnId="18"/>
      <queryTableField id="19" name="AdvertisingTool" tableColumnId="19"/>
      <queryTableField id="20" name="Conversion" tableColumnId="20"/>
      <queryTableField id="22" name="CPA" tableColumnId="22"/>
    </queryTableFields>
    <queryTableDeletedFields count="1">
      <deletedField name="ROI"/>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Type" xr10:uid="{A0A07C31-9C26-4DC0-92B2-46BECA4DBCE6}" sourceName="CampaignType">
  <pivotTables>
    <pivotTable tabId="5" name="PivotTable6"/>
    <pivotTable tabId="5" name="PivotTable1"/>
    <pivotTable tabId="5" name="PivotTable17"/>
    <pivotTable tabId="5" name="PivotTable3"/>
    <pivotTable tabId="5" name="PivotTable36"/>
    <pivotTable tabId="5" name="PivotTable37"/>
    <pivotTable tabId="5" name="PivotTable38"/>
    <pivotTable tabId="5" name="PivotTable4"/>
    <pivotTable tabId="5" name="PivotTable7"/>
    <pivotTable tabId="5" name="PivotTable9"/>
  </pivotTables>
  <data>
    <tabular pivotCacheId="3843480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FF3538A8-E434-42F1-BCCF-0F56D04813C3}" sourceName="Income Group">
  <pivotTables>
    <pivotTable tabId="9" name="PivotTable27"/>
    <pivotTable tabId="9" name="PivotTable13"/>
    <pivotTable tabId="9" name="PivotTable14"/>
    <pivotTable tabId="9" name="PivotTable3"/>
    <pivotTable tabId="9" name="PivotTable30"/>
    <pivotTable tabId="9" name="PivotTable4"/>
    <pivotTable tabId="9" name="PivotTable5"/>
    <pivotTable tabId="9" name="PivotTable6"/>
    <pivotTable tabId="9" name="PivotTable7"/>
    <pivotTable tabId="9" name="PivotTable8"/>
  </pivotTables>
  <data>
    <tabular pivotCacheId="3093302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1C74CD-1F8E-4888-A626-40698BB8B4BC}" sourceName="Gender">
  <pivotTables>
    <pivotTable tabId="9" name="PivotTable8"/>
    <pivotTable tabId="9" name="PivotTable13"/>
    <pivotTable tabId="9" name="PivotTable14"/>
    <pivotTable tabId="9" name="PivotTable27"/>
    <pivotTable tabId="9" name="PivotTable3"/>
    <pivotTable tabId="9" name="PivotTable30"/>
    <pivotTable tabId="9" name="PivotTable4"/>
    <pivotTable tabId="9" name="PivotTable5"/>
    <pivotTable tabId="9" name="PivotTable6"/>
    <pivotTable tabId="9" name="PivotTable7"/>
  </pivotTables>
  <data>
    <tabular pivotCacheId="30933023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Channel" xr10:uid="{25666E7D-B98E-4B80-B616-E4570394D59A}" sourceName="CampaignChannel">
  <pivotTables>
    <pivotTable tabId="5" name="PivotTable6"/>
    <pivotTable tabId="5" name="PivotTable1"/>
    <pivotTable tabId="5" name="PivotTable17"/>
    <pivotTable tabId="5" name="PivotTable3"/>
    <pivotTable tabId="5" name="PivotTable36"/>
    <pivotTable tabId="5" name="PivotTable37"/>
    <pivotTable tabId="5" name="PivotTable38"/>
    <pivotTable tabId="5" name="PivotTable4"/>
    <pivotTable tabId="5" name="PivotTable7"/>
    <pivotTable tabId="5" name="PivotTable9"/>
  </pivotTables>
  <data>
    <tabular pivotCacheId="38434802">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Type" xr10:uid="{DC73F27A-C17F-46AF-A7BF-E7CF1B2E3EAC}" cache="Slicer_CampaignType" caption="CampaignType" columnCount="4" showCaption="0" style="Slicer Style 1" rowHeight="241300"/>
  <slicer name="CampaignChannel 1" xr10:uid="{9083B499-4337-4072-8DA9-FBA44708B73F}" cache="Slicer_CampaignChannel" caption="CampaignChannel" columnCount="5"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Group" xr10:uid="{4F12710E-0ACF-4912-961C-F79BC83AD8E9}" cache="Slicer_Income_Group" caption="Income Group" columnCount="3" showCaption="0" style="Slicer Style 1" rowHeight="241300"/>
  <slicer name="Gender" xr10:uid="{75C148EF-2AEE-4863-91EF-F49618F0C62A}" cache="Slicer_Gender" caption="Gender" columnCount="2"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A6737-8672-4446-A6FD-A12BE5E58079}" name="Customer_analytics" displayName="Customer_analytics" ref="A1:O319" tableType="queryTable" totalsRowShown="0">
  <autoFilter ref="A1:O319" xr:uid="{24CA6737-8672-4446-A6FD-A12BE5E58079}"/>
  <tableColumns count="15">
    <tableColumn id="1" xr3:uid="{0A7A1CAA-6073-46A3-A174-0AD68ED26198}" uniqueName="1" name="CustomerID" queryTableFieldId="1"/>
    <tableColumn id="2" xr3:uid="{E389F12D-D650-4532-A45F-0AE24E9A4178}" uniqueName="2" name="Age" queryTableFieldId="2"/>
    <tableColumn id="3" xr3:uid="{E0A26A45-2F05-460E-AB26-691A09F86603}" uniqueName="3" name="Gender" queryTableFieldId="3" dataDxfId="17"/>
    <tableColumn id="4" xr3:uid="{D6797F1E-1A0C-4932-8D38-E71A91B95509}" uniqueName="4" name="Income" queryTableFieldId="4"/>
    <tableColumn id="14" xr3:uid="{C8F465C5-5EC9-46C7-A2CE-817F6D5F9D79}" uniqueName="14" name="Income Group" queryTableFieldId="14" dataDxfId="16">
      <calculatedColumnFormula>IF(Customer_analytics[[#This Row],[Income]]&lt;50000, "Low", IF(Customer_analytics[[#This Row],[Income]]&lt;100000, "Mid", "High"))</calculatedColumnFormula>
    </tableColumn>
    <tableColumn id="5" xr3:uid="{E9B8EC10-3C95-4B9D-AF8F-BECD8CD757A6}" uniqueName="5" name="WebsiteVisits" queryTableFieldId="5"/>
    <tableColumn id="6" xr3:uid="{8936F518-B008-49B8-A1BD-733C86A8F450}" uniqueName="6" name="PagesPerVisit" queryTableFieldId="6"/>
    <tableColumn id="7" xr3:uid="{2BCDA420-CF3B-4885-9767-4599E54A9FC0}" uniqueName="7" name="TimeOnSite" queryTableFieldId="7"/>
    <tableColumn id="15" xr3:uid="{2F0FA30D-4B56-493F-934F-4939448E493A}" uniqueName="15" name="Time on Site Group" queryTableFieldId="15" dataDxfId="15">
      <calculatedColumnFormula>IF(Customer_analytics[[#This Row],[TimeOnSite]]&lt;3, "Short Visit", IF(Customer_analytics[[#This Row],[TimeOnSite]]&lt;7, "Medium Visit", "Long Visit"))</calculatedColumnFormula>
    </tableColumn>
    <tableColumn id="8" xr3:uid="{F7E8437D-66B8-428C-BAE1-B58397792EB4}" uniqueName="8" name="SocialShares" queryTableFieldId="8"/>
    <tableColumn id="9" xr3:uid="{B9CBD110-6997-41D5-B0DB-966E9A5B1D78}" uniqueName="9" name="EmailOpens" queryTableFieldId="9"/>
    <tableColumn id="10" xr3:uid="{101F39DE-597E-458B-AFCF-3DDEBFAEE3F5}" uniqueName="10" name="EmailClicks" queryTableFieldId="10"/>
    <tableColumn id="11" xr3:uid="{84DD55D0-1E86-4999-9D7A-4A6DD45CEAA2}" uniqueName="11" name="PreviousPurchases" queryTableFieldId="11"/>
    <tableColumn id="12" xr3:uid="{178DE410-AB15-4FD2-B575-8893BFF0232E}" uniqueName="12" name="LoyaltyPoints" queryTableFieldId="12"/>
    <tableColumn id="13" xr3:uid="{A22880A5-5326-4D44-8DAA-15B7BE74410A}" uniqueName="13" name="Conversion"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BEA1D-D06D-4818-BDB3-96CE8DD3BE40}" name="Marketing_dataset" displayName="Marketing_dataset" ref="A1:M319" tableType="queryTable" totalsRowShown="0">
  <autoFilter ref="A1:M319" xr:uid="{723BEA1D-D06D-4818-BDB3-96CE8DD3BE40}"/>
  <tableColumns count="13">
    <tableColumn id="1" xr3:uid="{5816683A-AD19-4E12-99D6-52D15D44E236}" uniqueName="1" name="CustomerID" queryTableFieldId="1"/>
    <tableColumn id="3" xr3:uid="{6806A744-6E05-4F47-A012-52C6A7480820}" uniqueName="3" name="CampaignChannel" queryTableFieldId="3" dataDxfId="14"/>
    <tableColumn id="4" xr3:uid="{2E6557C3-65A1-4B2E-9EF1-97947E65FE35}" uniqueName="4" name="CampaignType" queryTableFieldId="4" dataDxfId="13"/>
    <tableColumn id="5" xr3:uid="{2B63E14D-A7EE-49FA-AD97-2758E69C6AB2}" uniqueName="5" name="AdSpend" queryTableFieldId="5"/>
    <tableColumn id="6" xr3:uid="{8744939B-553F-4C9C-BA28-B9D9CC2341A8}" uniqueName="6" name="ClickThroughRate" queryTableFieldId="6"/>
    <tableColumn id="7" xr3:uid="{A7041657-940A-4673-B3B0-45B13D3170B5}" uniqueName="7" name="ConversionRate" queryTableFieldId="7"/>
    <tableColumn id="8" xr3:uid="{8DEAB568-117D-4F10-B659-A7856BE1C928}" uniqueName="8" name="WebsiteVisits" queryTableFieldId="8"/>
    <tableColumn id="9" xr3:uid="{CC758671-F9B1-424F-8FB7-A0376195134D}" uniqueName="9" name="SocialShares" queryTableFieldId="9"/>
    <tableColumn id="10" xr3:uid="{11DA46F8-4471-4855-A413-2C9A5B398EDF}" uniqueName="10" name="EmailOpens" queryTableFieldId="10"/>
    <tableColumn id="11" xr3:uid="{3224192A-2F42-43BC-BA4A-FC32973D03B2}" uniqueName="11" name="EmailClicks" queryTableFieldId="11"/>
    <tableColumn id="12" xr3:uid="{A7659A2A-9D50-4CF6-93BC-7208CC1A8EA2}" uniqueName="12" name="AdvertisingPlatform" queryTableFieldId="12" dataDxfId="12"/>
    <tableColumn id="13" xr3:uid="{83557517-A687-4D23-B549-2988A32C9020}" uniqueName="13" name="AdvertisingTool" queryTableFieldId="13" dataDxfId="11"/>
    <tableColumn id="14" xr3:uid="{0F017E63-148B-4889-A228-1024F54C7220}" uniqueName="14" name="Conversion"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BECBD1-5A7F-4AD6-9C79-FAFE693F7C3D}" name="digital_marketing_campaign_data" displayName="digital_marketing_campaign_data" ref="A1:U319" tableType="queryTable" totalsRowShown="0">
  <autoFilter ref="A1:U319" xr:uid="{88BECBD1-5A7F-4AD6-9C79-FAFE693F7C3D}"/>
  <tableColumns count="21">
    <tableColumn id="1" xr3:uid="{C2A7C134-440B-4159-947B-F2423351436F}" uniqueName="1" name="CustomerID" queryTableFieldId="1"/>
    <tableColumn id="2" xr3:uid="{EB2ADFED-6541-4830-A1FA-BA6EAE54D88E}" uniqueName="2" name="Age" queryTableFieldId="2"/>
    <tableColumn id="3" xr3:uid="{58594ADB-0B8D-4FC4-9CDB-BBCE8B5DB525}" uniqueName="3" name="Gender" queryTableFieldId="3" dataDxfId="10"/>
    <tableColumn id="4" xr3:uid="{F9D61E9C-C04C-47F6-B5ED-B12D1600F0A8}" uniqueName="4" name="Income" queryTableFieldId="4"/>
    <tableColumn id="5" xr3:uid="{0BA05331-69B2-408A-8603-4B1F3AE6CDDC}" uniqueName="5" name="CampaignChannel" queryTableFieldId="5" dataDxfId="9"/>
    <tableColumn id="6" xr3:uid="{603D0799-29B4-44BE-AAED-55BF6C7071E8}" uniqueName="6" name="CampaignType" queryTableFieldId="6" dataDxfId="8"/>
    <tableColumn id="7" xr3:uid="{1358F972-1DAE-4DDC-8807-42291D9E5ABB}" uniqueName="7" name="AdSpend" queryTableFieldId="7"/>
    <tableColumn id="8" xr3:uid="{DF7B390A-76D0-44AE-84C8-EA8FFCB65D8C}" uniqueName="8" name="ClickThroughRate" queryTableFieldId="8"/>
    <tableColumn id="9" xr3:uid="{DCA77FBB-5723-443D-95B4-1D0A6EE9D419}" uniqueName="9" name="ConversionRate" queryTableFieldId="9"/>
    <tableColumn id="10" xr3:uid="{847C50B6-7353-4B1A-B2DA-4E08633F9DB9}" uniqueName="10" name="WebsiteVisits" queryTableFieldId="10"/>
    <tableColumn id="11" xr3:uid="{EB9FFFAE-19B5-4CA8-9A33-3795D8E46230}" uniqueName="11" name="PagesPerVisit" queryTableFieldId="11"/>
    <tableColumn id="12" xr3:uid="{BF79E4F0-088D-4CD6-A945-A7D03D110D90}" uniqueName="12" name="TimeOnSite" queryTableFieldId="12"/>
    <tableColumn id="13" xr3:uid="{93894B6B-2A38-484F-B4DE-02E09894EAC8}" uniqueName="13" name="SocialShares" queryTableFieldId="13"/>
    <tableColumn id="14" xr3:uid="{5DBC3C9B-1FE5-4EE4-9D6D-84642BAD1543}" uniqueName="14" name="EmailOpens" queryTableFieldId="14"/>
    <tableColumn id="15" xr3:uid="{5A33B4AD-E7E7-420E-9B4D-6B89F13126A5}" uniqueName="15" name="EmailClicks" queryTableFieldId="15"/>
    <tableColumn id="16" xr3:uid="{C64F48BC-3730-4F84-8E89-610AB52C74C5}" uniqueName="16" name="PreviousPurchases" queryTableFieldId="16"/>
    <tableColumn id="17" xr3:uid="{37BAD5A0-32F8-4ED0-9E0B-20BBFF3C4E14}" uniqueName="17" name="LoyaltyPoints" queryTableFieldId="17"/>
    <tableColumn id="18" xr3:uid="{D0233C4C-4CB5-416F-A33E-3FAB9E246466}" uniqueName="18" name="AdvertisingPlatform" queryTableFieldId="18" dataDxfId="7"/>
    <tableColumn id="19" xr3:uid="{FE9DFC25-9DC6-471D-8849-2DC392B6A44C}" uniqueName="19" name="AdvertisingTool" queryTableFieldId="19" dataDxfId="6"/>
    <tableColumn id="20" xr3:uid="{1C3C49A8-BECD-4227-B07E-D823A40DADAE}" uniqueName="20" name="Conversion" queryTableFieldId="20"/>
    <tableColumn id="22" xr3:uid="{CFB21C9D-2366-47A1-A940-8388E1DC7BA1}" uniqueName="22" name="CPA"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5.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92F7-3217-4992-BB80-BF9AD17BC91C}">
  <dimension ref="A1:O319"/>
  <sheetViews>
    <sheetView showGridLines="0" workbookViewId="0">
      <selection activeCell="K1" sqref="K1"/>
    </sheetView>
  </sheetViews>
  <sheetFormatPr defaultRowHeight="14.5" x14ac:dyDescent="0.35"/>
  <cols>
    <col min="1" max="1" width="13.08984375" bestFit="1" customWidth="1"/>
    <col min="2" max="2" width="6.1796875" bestFit="1" customWidth="1"/>
    <col min="3" max="4" width="9.26953125" bestFit="1" customWidth="1"/>
    <col min="5" max="5" width="15" bestFit="1" customWidth="1"/>
    <col min="6" max="6" width="14.453125" bestFit="1" customWidth="1"/>
    <col min="7" max="7" width="14.36328125" bestFit="1" customWidth="1"/>
    <col min="8" max="8" width="12.7265625" bestFit="1" customWidth="1"/>
    <col min="9" max="9" width="21.08984375" customWidth="1"/>
    <col min="10" max="10" width="13.36328125" bestFit="1" customWidth="1"/>
    <col min="11" max="11" width="13" bestFit="1" customWidth="1"/>
    <col min="12" max="12" width="12.26953125" bestFit="1" customWidth="1"/>
    <col min="13" max="13" width="18.81640625" bestFit="1" customWidth="1"/>
    <col min="14" max="14" width="14.26953125" bestFit="1" customWidth="1"/>
    <col min="15" max="15" width="12.453125" bestFit="1" customWidth="1"/>
  </cols>
  <sheetData>
    <row r="1" spans="1:15" x14ac:dyDescent="0.35">
      <c r="A1" t="s">
        <v>0</v>
      </c>
      <c r="B1" t="s">
        <v>1</v>
      </c>
      <c r="C1" t="s">
        <v>2</v>
      </c>
      <c r="D1" t="s">
        <v>3</v>
      </c>
      <c r="E1" t="s">
        <v>49</v>
      </c>
      <c r="F1" t="s">
        <v>9</v>
      </c>
      <c r="G1" t="s">
        <v>10</v>
      </c>
      <c r="H1" t="s">
        <v>11</v>
      </c>
      <c r="I1" t="s">
        <v>53</v>
      </c>
      <c r="J1" t="s">
        <v>12</v>
      </c>
      <c r="K1" t="s">
        <v>13</v>
      </c>
      <c r="L1" t="s">
        <v>14</v>
      </c>
      <c r="M1" t="s">
        <v>15</v>
      </c>
      <c r="N1" t="s">
        <v>16</v>
      </c>
      <c r="O1" t="s">
        <v>19</v>
      </c>
    </row>
    <row r="2" spans="1:15" x14ac:dyDescent="0.35">
      <c r="A2">
        <v>8004</v>
      </c>
      <c r="B2">
        <v>60</v>
      </c>
      <c r="C2" t="s">
        <v>21</v>
      </c>
      <c r="D2">
        <v>83964</v>
      </c>
      <c r="E2" t="str">
        <f>IF(Customer_analytics[[#This Row],[Income]]&lt;50000, "Low", IF(Customer_analytics[[#This Row],[Income]]&lt;100000, "Mid", "High"))</f>
        <v>Mid</v>
      </c>
      <c r="F2">
        <v>0</v>
      </c>
      <c r="G2">
        <v>2.0499999999999998</v>
      </c>
      <c r="H2">
        <v>13.99</v>
      </c>
      <c r="I2" t="str">
        <f>IF(Customer_analytics[[#This Row],[TimeOnSite]]&lt;3, "Short Visit", IF(Customer_analytics[[#This Row],[TimeOnSite]]&lt;7, "Medium Visit", "Long Visit"))</f>
        <v>Long Visit</v>
      </c>
      <c r="J2">
        <v>6</v>
      </c>
      <c r="K2">
        <v>6</v>
      </c>
      <c r="L2">
        <v>6</v>
      </c>
      <c r="M2">
        <v>8</v>
      </c>
      <c r="N2">
        <v>4345</v>
      </c>
      <c r="O2">
        <v>1</v>
      </c>
    </row>
    <row r="3" spans="1:15" x14ac:dyDescent="0.35">
      <c r="A3">
        <v>8006</v>
      </c>
      <c r="B3">
        <v>38</v>
      </c>
      <c r="C3" t="s">
        <v>21</v>
      </c>
      <c r="D3">
        <v>25615</v>
      </c>
      <c r="E3" t="str">
        <f>IF(Customer_analytics[[#This Row],[Income]]&lt;50000, "Low", IF(Customer_analytics[[#This Row],[Income]]&lt;100000, "Mid", "High"))</f>
        <v>Low</v>
      </c>
      <c r="F3">
        <v>42</v>
      </c>
      <c r="G3">
        <v>1.75</v>
      </c>
      <c r="H3">
        <v>10.7</v>
      </c>
      <c r="I3" t="str">
        <f>IF(Customer_analytics[[#This Row],[TimeOnSite]]&lt;3, "Short Visit", IF(Customer_analytics[[#This Row],[TimeOnSite]]&lt;7, "Medium Visit", "Long Visit"))</f>
        <v>Long Visit</v>
      </c>
      <c r="J3">
        <v>54</v>
      </c>
      <c r="K3">
        <v>14</v>
      </c>
      <c r="L3">
        <v>3</v>
      </c>
      <c r="M3">
        <v>6</v>
      </c>
      <c r="N3">
        <v>930</v>
      </c>
      <c r="O3">
        <v>1</v>
      </c>
    </row>
    <row r="4" spans="1:15" x14ac:dyDescent="0.35">
      <c r="A4">
        <v>8012</v>
      </c>
      <c r="B4">
        <v>41</v>
      </c>
      <c r="C4" t="s">
        <v>27</v>
      </c>
      <c r="D4">
        <v>131093</v>
      </c>
      <c r="E4" t="str">
        <f>IF(Customer_analytics[[#This Row],[Income]]&lt;50000, "Low", IF(Customer_analytics[[#This Row],[Income]]&lt;100000, "Mid", "High"))</f>
        <v>High</v>
      </c>
      <c r="F4">
        <v>13</v>
      </c>
      <c r="G4">
        <v>8.89</v>
      </c>
      <c r="H4">
        <v>8.48</v>
      </c>
      <c r="I4" t="str">
        <f>IF(Customer_analytics[[#This Row],[TimeOnSite]]&lt;3, "Short Visit", IF(Customer_analytics[[#This Row],[TimeOnSite]]&lt;7, "Medium Visit", "Long Visit"))</f>
        <v>Long Visit</v>
      </c>
      <c r="J4">
        <v>28</v>
      </c>
      <c r="K4">
        <v>16</v>
      </c>
      <c r="L4">
        <v>5</v>
      </c>
      <c r="M4">
        <v>4</v>
      </c>
      <c r="N4">
        <v>2946</v>
      </c>
      <c r="O4">
        <v>1</v>
      </c>
    </row>
    <row r="5" spans="1:15" x14ac:dyDescent="0.35">
      <c r="A5">
        <v>8013</v>
      </c>
      <c r="B5">
        <v>53</v>
      </c>
      <c r="C5" t="s">
        <v>27</v>
      </c>
      <c r="D5">
        <v>64608</v>
      </c>
      <c r="E5" t="str">
        <f>IF(Customer_analytics[[#This Row],[Income]]&lt;50000, "Low", IF(Customer_analytics[[#This Row],[Income]]&lt;100000, "Mid", "High"))</f>
        <v>Mid</v>
      </c>
      <c r="F5">
        <v>8</v>
      </c>
      <c r="G5">
        <v>8.5</v>
      </c>
      <c r="H5">
        <v>14.25</v>
      </c>
      <c r="I5" t="str">
        <f>IF(Customer_analytics[[#This Row],[TimeOnSite]]&lt;3, "Short Visit", IF(Customer_analytics[[#This Row],[TimeOnSite]]&lt;7, "Medium Visit", "Long Visit"))</f>
        <v>Long Visit</v>
      </c>
      <c r="J5">
        <v>81</v>
      </c>
      <c r="K5">
        <v>8</v>
      </c>
      <c r="L5">
        <v>1</v>
      </c>
      <c r="M5">
        <v>2</v>
      </c>
      <c r="N5">
        <v>2818</v>
      </c>
      <c r="O5">
        <v>1</v>
      </c>
    </row>
    <row r="6" spans="1:15" x14ac:dyDescent="0.35">
      <c r="A6">
        <v>8014</v>
      </c>
      <c r="B6">
        <v>57</v>
      </c>
      <c r="C6" t="s">
        <v>27</v>
      </c>
      <c r="D6">
        <v>148788</v>
      </c>
      <c r="E6" t="str">
        <f>IF(Customer_analytics[[#This Row],[Income]]&lt;50000, "Low", IF(Customer_analytics[[#This Row],[Income]]&lt;100000, "Mid", "High"))</f>
        <v>High</v>
      </c>
      <c r="F6">
        <v>20</v>
      </c>
      <c r="G6">
        <v>7.36</v>
      </c>
      <c r="H6">
        <v>2.4700000000000002</v>
      </c>
      <c r="I6" t="str">
        <f>IF(Customer_analytics[[#This Row],[TimeOnSite]]&lt;3, "Short Visit", IF(Customer_analytics[[#This Row],[TimeOnSite]]&lt;7, "Medium Visit", "Long Visit"))</f>
        <v>Short Visit</v>
      </c>
      <c r="J6">
        <v>70</v>
      </c>
      <c r="K6">
        <v>16</v>
      </c>
      <c r="L6">
        <v>8</v>
      </c>
      <c r="M6">
        <v>1</v>
      </c>
      <c r="N6">
        <v>3247</v>
      </c>
      <c r="O6">
        <v>1</v>
      </c>
    </row>
    <row r="7" spans="1:15" x14ac:dyDescent="0.35">
      <c r="A7">
        <v>8015</v>
      </c>
      <c r="B7">
        <v>41</v>
      </c>
      <c r="C7" t="s">
        <v>21</v>
      </c>
      <c r="D7">
        <v>39192</v>
      </c>
      <c r="E7" t="str">
        <f>IF(Customer_analytics[[#This Row],[Income]]&lt;50000, "Low", IF(Customer_analytics[[#This Row],[Income]]&lt;100000, "Mid", "High"))</f>
        <v>Low</v>
      </c>
      <c r="F7">
        <v>44</v>
      </c>
      <c r="G7">
        <v>6.95</v>
      </c>
      <c r="H7">
        <v>2.25</v>
      </c>
      <c r="I7" t="str">
        <f>IF(Customer_analytics[[#This Row],[TimeOnSite]]&lt;3, "Short Visit", IF(Customer_analytics[[#This Row],[TimeOnSite]]&lt;7, "Medium Visit", "Long Visit"))</f>
        <v>Short Visit</v>
      </c>
      <c r="J7">
        <v>33</v>
      </c>
      <c r="K7">
        <v>0</v>
      </c>
      <c r="L7">
        <v>1</v>
      </c>
      <c r="M7">
        <v>1</v>
      </c>
      <c r="N7">
        <v>4474</v>
      </c>
      <c r="O7">
        <v>0</v>
      </c>
    </row>
    <row r="8" spans="1:15" x14ac:dyDescent="0.35">
      <c r="A8">
        <v>8018</v>
      </c>
      <c r="B8">
        <v>19</v>
      </c>
      <c r="C8" t="s">
        <v>21</v>
      </c>
      <c r="D8">
        <v>117392</v>
      </c>
      <c r="E8" t="str">
        <f>IF(Customer_analytics[[#This Row],[Income]]&lt;50000, "Low", IF(Customer_analytics[[#This Row],[Income]]&lt;100000, "Mid", "High"))</f>
        <v>High</v>
      </c>
      <c r="F8">
        <v>7</v>
      </c>
      <c r="G8">
        <v>3.12</v>
      </c>
      <c r="H8">
        <v>8.44</v>
      </c>
      <c r="I8" t="str">
        <f>IF(Customer_analytics[[#This Row],[TimeOnSite]]&lt;3, "Short Visit", IF(Customer_analytics[[#This Row],[TimeOnSite]]&lt;7, "Medium Visit", "Long Visit"))</f>
        <v>Long Visit</v>
      </c>
      <c r="J8">
        <v>92</v>
      </c>
      <c r="K8">
        <v>8</v>
      </c>
      <c r="L8">
        <v>4</v>
      </c>
      <c r="M8">
        <v>6</v>
      </c>
      <c r="N8">
        <v>2222</v>
      </c>
      <c r="O8">
        <v>1</v>
      </c>
    </row>
    <row r="9" spans="1:15" x14ac:dyDescent="0.35">
      <c r="A9">
        <v>8019</v>
      </c>
      <c r="B9">
        <v>41</v>
      </c>
      <c r="C9" t="s">
        <v>21</v>
      </c>
      <c r="D9">
        <v>69949</v>
      </c>
      <c r="E9" t="str">
        <f>IF(Customer_analytics[[#This Row],[Income]]&lt;50000, "Low", IF(Customer_analytics[[#This Row],[Income]]&lt;100000, "Mid", "High"))</f>
        <v>Mid</v>
      </c>
      <c r="F9">
        <v>35</v>
      </c>
      <c r="G9">
        <v>9.82</v>
      </c>
      <c r="H9">
        <v>1.9</v>
      </c>
      <c r="I9" t="str">
        <f>IF(Customer_analytics[[#This Row],[TimeOnSite]]&lt;3, "Short Visit", IF(Customer_analytics[[#This Row],[TimeOnSite]]&lt;7, "Medium Visit", "Long Visit"))</f>
        <v>Short Visit</v>
      </c>
      <c r="J9">
        <v>36</v>
      </c>
      <c r="K9">
        <v>7</v>
      </c>
      <c r="L9">
        <v>7</v>
      </c>
      <c r="M9">
        <v>3</v>
      </c>
      <c r="N9">
        <v>3644</v>
      </c>
      <c r="O9">
        <v>1</v>
      </c>
    </row>
    <row r="10" spans="1:15" x14ac:dyDescent="0.35">
      <c r="A10">
        <v>8027</v>
      </c>
      <c r="B10">
        <v>39</v>
      </c>
      <c r="C10" t="s">
        <v>27</v>
      </c>
      <c r="D10">
        <v>98311</v>
      </c>
      <c r="E10" t="str">
        <f>IF(Customer_analytics[[#This Row],[Income]]&lt;50000, "Low", IF(Customer_analytics[[#This Row],[Income]]&lt;100000, "Mid", "High"))</f>
        <v>Mid</v>
      </c>
      <c r="F10">
        <v>39</v>
      </c>
      <c r="G10">
        <v>2.52</v>
      </c>
      <c r="H10">
        <v>9.33</v>
      </c>
      <c r="I10" t="str">
        <f>IF(Customer_analytics[[#This Row],[TimeOnSite]]&lt;3, "Short Visit", IF(Customer_analytics[[#This Row],[TimeOnSite]]&lt;7, "Medium Visit", "Long Visit"))</f>
        <v>Long Visit</v>
      </c>
      <c r="J10">
        <v>98</v>
      </c>
      <c r="K10">
        <v>17</v>
      </c>
      <c r="L10">
        <v>6</v>
      </c>
      <c r="M10">
        <v>1</v>
      </c>
      <c r="N10">
        <v>2688</v>
      </c>
      <c r="O10">
        <v>1</v>
      </c>
    </row>
    <row r="11" spans="1:15" x14ac:dyDescent="0.35">
      <c r="A11">
        <v>8028</v>
      </c>
      <c r="B11">
        <v>61</v>
      </c>
      <c r="C11" t="s">
        <v>21</v>
      </c>
      <c r="D11">
        <v>27549</v>
      </c>
      <c r="E11" t="str">
        <f>IF(Customer_analytics[[#This Row],[Income]]&lt;50000, "Low", IF(Customer_analytics[[#This Row],[Income]]&lt;100000, "Mid", "High"))</f>
        <v>Low</v>
      </c>
      <c r="F11">
        <v>25</v>
      </c>
      <c r="G11">
        <v>3.95</v>
      </c>
      <c r="H11">
        <v>10.67</v>
      </c>
      <c r="I11" t="str">
        <f>IF(Customer_analytics[[#This Row],[TimeOnSite]]&lt;3, "Short Visit", IF(Customer_analytics[[#This Row],[TimeOnSite]]&lt;7, "Medium Visit", "Long Visit"))</f>
        <v>Long Visit</v>
      </c>
      <c r="J11">
        <v>92</v>
      </c>
      <c r="K11">
        <v>17</v>
      </c>
      <c r="L11">
        <v>1</v>
      </c>
      <c r="M11">
        <v>3</v>
      </c>
      <c r="N11">
        <v>68</v>
      </c>
      <c r="O11">
        <v>1</v>
      </c>
    </row>
    <row r="12" spans="1:15" x14ac:dyDescent="0.35">
      <c r="A12">
        <v>8032</v>
      </c>
      <c r="B12">
        <v>59</v>
      </c>
      <c r="C12" t="s">
        <v>21</v>
      </c>
      <c r="D12">
        <v>43958</v>
      </c>
      <c r="E12" t="str">
        <f>IF(Customer_analytics[[#This Row],[Income]]&lt;50000, "Low", IF(Customer_analytics[[#This Row],[Income]]&lt;100000, "Mid", "High"))</f>
        <v>Low</v>
      </c>
      <c r="F12">
        <v>24</v>
      </c>
      <c r="G12">
        <v>3.17</v>
      </c>
      <c r="H12">
        <v>3.14</v>
      </c>
      <c r="I12" t="str">
        <f>IF(Customer_analytics[[#This Row],[TimeOnSite]]&lt;3, "Short Visit", IF(Customer_analytics[[#This Row],[TimeOnSite]]&lt;7, "Medium Visit", "Long Visit"))</f>
        <v>Medium Visit</v>
      </c>
      <c r="J12">
        <v>24</v>
      </c>
      <c r="K12">
        <v>10</v>
      </c>
      <c r="L12">
        <v>5</v>
      </c>
      <c r="M12">
        <v>6</v>
      </c>
      <c r="N12">
        <v>4683</v>
      </c>
      <c r="O12">
        <v>1</v>
      </c>
    </row>
    <row r="13" spans="1:15" x14ac:dyDescent="0.35">
      <c r="A13">
        <v>8039</v>
      </c>
      <c r="B13">
        <v>69</v>
      </c>
      <c r="C13" t="s">
        <v>27</v>
      </c>
      <c r="D13">
        <v>141835</v>
      </c>
      <c r="E13" t="str">
        <f>IF(Customer_analytics[[#This Row],[Income]]&lt;50000, "Low", IF(Customer_analytics[[#This Row],[Income]]&lt;100000, "Mid", "High"))</f>
        <v>High</v>
      </c>
      <c r="F13">
        <v>20</v>
      </c>
      <c r="G13">
        <v>1.7</v>
      </c>
      <c r="H13">
        <v>1.17</v>
      </c>
      <c r="I13" t="str">
        <f>IF(Customer_analytics[[#This Row],[TimeOnSite]]&lt;3, "Short Visit", IF(Customer_analytics[[#This Row],[TimeOnSite]]&lt;7, "Medium Visit", "Long Visit"))</f>
        <v>Short Visit</v>
      </c>
      <c r="J13">
        <v>1</v>
      </c>
      <c r="K13">
        <v>13</v>
      </c>
      <c r="L13">
        <v>0</v>
      </c>
      <c r="M13">
        <v>0</v>
      </c>
      <c r="N13">
        <v>2885</v>
      </c>
      <c r="O13">
        <v>1</v>
      </c>
    </row>
    <row r="14" spans="1:15" x14ac:dyDescent="0.35">
      <c r="A14">
        <v>8040</v>
      </c>
      <c r="B14">
        <v>20</v>
      </c>
      <c r="C14" t="s">
        <v>21</v>
      </c>
      <c r="D14">
        <v>57538</v>
      </c>
      <c r="E14" t="str">
        <f>IF(Customer_analytics[[#This Row],[Income]]&lt;50000, "Low", IF(Customer_analytics[[#This Row],[Income]]&lt;100000, "Mid", "High"))</f>
        <v>Mid</v>
      </c>
      <c r="F14">
        <v>24</v>
      </c>
      <c r="G14">
        <v>1.07</v>
      </c>
      <c r="H14">
        <v>11.25</v>
      </c>
      <c r="I14" t="str">
        <f>IF(Customer_analytics[[#This Row],[TimeOnSite]]&lt;3, "Short Visit", IF(Customer_analytics[[#This Row],[TimeOnSite]]&lt;7, "Medium Visit", "Long Visit"))</f>
        <v>Long Visit</v>
      </c>
      <c r="J14">
        <v>13</v>
      </c>
      <c r="K14">
        <v>4</v>
      </c>
      <c r="L14">
        <v>7</v>
      </c>
      <c r="M14">
        <v>3</v>
      </c>
      <c r="N14">
        <v>1476</v>
      </c>
      <c r="O14">
        <v>1</v>
      </c>
    </row>
    <row r="15" spans="1:15" x14ac:dyDescent="0.35">
      <c r="A15">
        <v>8041</v>
      </c>
      <c r="B15">
        <v>54</v>
      </c>
      <c r="C15" t="s">
        <v>21</v>
      </c>
      <c r="D15">
        <v>25833</v>
      </c>
      <c r="E15" t="str">
        <f>IF(Customer_analytics[[#This Row],[Income]]&lt;50000, "Low", IF(Customer_analytics[[#This Row],[Income]]&lt;100000, "Mid", "High"))</f>
        <v>Low</v>
      </c>
      <c r="F15">
        <v>39</v>
      </c>
      <c r="G15">
        <v>8.7799999999999994</v>
      </c>
      <c r="H15">
        <v>2.34</v>
      </c>
      <c r="I15" t="str">
        <f>IF(Customer_analytics[[#This Row],[TimeOnSite]]&lt;3, "Short Visit", IF(Customer_analytics[[#This Row],[TimeOnSite]]&lt;7, "Medium Visit", "Long Visit"))</f>
        <v>Short Visit</v>
      </c>
      <c r="J15">
        <v>49</v>
      </c>
      <c r="K15">
        <v>14</v>
      </c>
      <c r="L15">
        <v>3</v>
      </c>
      <c r="M15">
        <v>1</v>
      </c>
      <c r="N15">
        <v>3243</v>
      </c>
      <c r="O15">
        <v>1</v>
      </c>
    </row>
    <row r="16" spans="1:15" x14ac:dyDescent="0.35">
      <c r="A16">
        <v>8043</v>
      </c>
      <c r="B16">
        <v>24</v>
      </c>
      <c r="C16" t="s">
        <v>27</v>
      </c>
      <c r="D16">
        <v>43386</v>
      </c>
      <c r="E16" t="str">
        <f>IF(Customer_analytics[[#This Row],[Income]]&lt;50000, "Low", IF(Customer_analytics[[#This Row],[Income]]&lt;100000, "Mid", "High"))</f>
        <v>Low</v>
      </c>
      <c r="F16">
        <v>21</v>
      </c>
      <c r="G16">
        <v>2.29</v>
      </c>
      <c r="H16">
        <v>8.5500000000000007</v>
      </c>
      <c r="I16" t="str">
        <f>IF(Customer_analytics[[#This Row],[TimeOnSite]]&lt;3, "Short Visit", IF(Customer_analytics[[#This Row],[TimeOnSite]]&lt;7, "Medium Visit", "Long Visit"))</f>
        <v>Long Visit</v>
      </c>
      <c r="J16">
        <v>33</v>
      </c>
      <c r="K16">
        <v>5</v>
      </c>
      <c r="L16">
        <v>9</v>
      </c>
      <c r="M16">
        <v>0</v>
      </c>
      <c r="N16">
        <v>913</v>
      </c>
      <c r="O16">
        <v>0</v>
      </c>
    </row>
    <row r="17" spans="1:15" x14ac:dyDescent="0.35">
      <c r="A17">
        <v>8045</v>
      </c>
      <c r="B17">
        <v>26</v>
      </c>
      <c r="C17" t="s">
        <v>27</v>
      </c>
      <c r="D17">
        <v>120349</v>
      </c>
      <c r="E17" t="str">
        <f>IF(Customer_analytics[[#This Row],[Income]]&lt;50000, "Low", IF(Customer_analytics[[#This Row],[Income]]&lt;100000, "Mid", "High"))</f>
        <v>High</v>
      </c>
      <c r="F17">
        <v>7</v>
      </c>
      <c r="G17">
        <v>8.66</v>
      </c>
      <c r="H17">
        <v>7.88</v>
      </c>
      <c r="I17" t="str">
        <f>IF(Customer_analytics[[#This Row],[TimeOnSite]]&lt;3, "Short Visit", IF(Customer_analytics[[#This Row],[TimeOnSite]]&lt;7, "Medium Visit", "Long Visit"))</f>
        <v>Long Visit</v>
      </c>
      <c r="J17">
        <v>91</v>
      </c>
      <c r="K17">
        <v>15</v>
      </c>
      <c r="L17">
        <v>3</v>
      </c>
      <c r="M17">
        <v>0</v>
      </c>
      <c r="N17">
        <v>284</v>
      </c>
      <c r="O17">
        <v>1</v>
      </c>
    </row>
    <row r="18" spans="1:15" x14ac:dyDescent="0.35">
      <c r="A18">
        <v>8046</v>
      </c>
      <c r="B18">
        <v>56</v>
      </c>
      <c r="C18" t="s">
        <v>21</v>
      </c>
      <c r="D18">
        <v>119341</v>
      </c>
      <c r="E18" t="str">
        <f>IF(Customer_analytics[[#This Row],[Income]]&lt;50000, "Low", IF(Customer_analytics[[#This Row],[Income]]&lt;100000, "Mid", "High"))</f>
        <v>High</v>
      </c>
      <c r="F18">
        <v>23</v>
      </c>
      <c r="G18">
        <v>1.75</v>
      </c>
      <c r="H18">
        <v>0.69</v>
      </c>
      <c r="I18" t="str">
        <f>IF(Customer_analytics[[#This Row],[TimeOnSite]]&lt;3, "Short Visit", IF(Customer_analytics[[#This Row],[TimeOnSite]]&lt;7, "Medium Visit", "Long Visit"))</f>
        <v>Short Visit</v>
      </c>
      <c r="J18">
        <v>38</v>
      </c>
      <c r="K18">
        <v>18</v>
      </c>
      <c r="L18">
        <v>7</v>
      </c>
      <c r="M18">
        <v>1</v>
      </c>
      <c r="N18">
        <v>4275</v>
      </c>
      <c r="O18">
        <v>1</v>
      </c>
    </row>
    <row r="19" spans="1:15" x14ac:dyDescent="0.35">
      <c r="A19">
        <v>8049</v>
      </c>
      <c r="B19">
        <v>42</v>
      </c>
      <c r="C19" t="s">
        <v>21</v>
      </c>
      <c r="D19">
        <v>127955</v>
      </c>
      <c r="E19" t="str">
        <f>IF(Customer_analytics[[#This Row],[Income]]&lt;50000, "Low", IF(Customer_analytics[[#This Row],[Income]]&lt;100000, "Mid", "High"))</f>
        <v>High</v>
      </c>
      <c r="F19">
        <v>46</v>
      </c>
      <c r="G19">
        <v>6.92</v>
      </c>
      <c r="H19">
        <v>13.97</v>
      </c>
      <c r="I19" t="str">
        <f>IF(Customer_analytics[[#This Row],[TimeOnSite]]&lt;3, "Short Visit", IF(Customer_analytics[[#This Row],[TimeOnSite]]&lt;7, "Medium Visit", "Long Visit"))</f>
        <v>Long Visit</v>
      </c>
      <c r="J19">
        <v>96</v>
      </c>
      <c r="K19">
        <v>17</v>
      </c>
      <c r="L19">
        <v>4</v>
      </c>
      <c r="M19">
        <v>9</v>
      </c>
      <c r="N19">
        <v>3404</v>
      </c>
      <c r="O19">
        <v>1</v>
      </c>
    </row>
    <row r="20" spans="1:15" x14ac:dyDescent="0.35">
      <c r="A20">
        <v>8055</v>
      </c>
      <c r="B20">
        <v>37</v>
      </c>
      <c r="C20" t="s">
        <v>27</v>
      </c>
      <c r="D20">
        <v>37667</v>
      </c>
      <c r="E20" t="str">
        <f>IF(Customer_analytics[[#This Row],[Income]]&lt;50000, "Low", IF(Customer_analytics[[#This Row],[Income]]&lt;100000, "Mid", "High"))</f>
        <v>Low</v>
      </c>
      <c r="F20">
        <v>22</v>
      </c>
      <c r="G20">
        <v>4.6100000000000003</v>
      </c>
      <c r="H20">
        <v>1.98</v>
      </c>
      <c r="I20" t="str">
        <f>IF(Customer_analytics[[#This Row],[TimeOnSite]]&lt;3, "Short Visit", IF(Customer_analytics[[#This Row],[TimeOnSite]]&lt;7, "Medium Visit", "Long Visit"))</f>
        <v>Short Visit</v>
      </c>
      <c r="J20">
        <v>87</v>
      </c>
      <c r="K20">
        <v>3</v>
      </c>
      <c r="L20">
        <v>8</v>
      </c>
      <c r="M20">
        <v>2</v>
      </c>
      <c r="N20">
        <v>1977</v>
      </c>
      <c r="O20">
        <v>1</v>
      </c>
    </row>
    <row r="21" spans="1:15" x14ac:dyDescent="0.35">
      <c r="A21">
        <v>8057</v>
      </c>
      <c r="B21">
        <v>64</v>
      </c>
      <c r="C21" t="s">
        <v>21</v>
      </c>
      <c r="D21">
        <v>26732</v>
      </c>
      <c r="E21" t="str">
        <f>IF(Customer_analytics[[#This Row],[Income]]&lt;50000, "Low", IF(Customer_analytics[[#This Row],[Income]]&lt;100000, "Mid", "High"))</f>
        <v>Low</v>
      </c>
      <c r="F21">
        <v>37</v>
      </c>
      <c r="G21">
        <v>3.28</v>
      </c>
      <c r="H21">
        <v>10.5</v>
      </c>
      <c r="I21" t="str">
        <f>IF(Customer_analytics[[#This Row],[TimeOnSite]]&lt;3, "Short Visit", IF(Customer_analytics[[#This Row],[TimeOnSite]]&lt;7, "Medium Visit", "Long Visit"))</f>
        <v>Long Visit</v>
      </c>
      <c r="J21">
        <v>68</v>
      </c>
      <c r="K21">
        <v>5</v>
      </c>
      <c r="L21">
        <v>3</v>
      </c>
      <c r="M21">
        <v>0</v>
      </c>
      <c r="N21">
        <v>336</v>
      </c>
      <c r="O21">
        <v>1</v>
      </c>
    </row>
    <row r="22" spans="1:15" x14ac:dyDescent="0.35">
      <c r="A22">
        <v>8071</v>
      </c>
      <c r="B22">
        <v>59</v>
      </c>
      <c r="C22" t="s">
        <v>21</v>
      </c>
      <c r="D22">
        <v>59865</v>
      </c>
      <c r="E22" t="str">
        <f>IF(Customer_analytics[[#This Row],[Income]]&lt;50000, "Low", IF(Customer_analytics[[#This Row],[Income]]&lt;100000, "Mid", "High"))</f>
        <v>Mid</v>
      </c>
      <c r="F22">
        <v>43</v>
      </c>
      <c r="G22">
        <v>2.33</v>
      </c>
      <c r="H22">
        <v>4.58</v>
      </c>
      <c r="I22" t="str">
        <f>IF(Customer_analytics[[#This Row],[TimeOnSite]]&lt;3, "Short Visit", IF(Customer_analytics[[#This Row],[TimeOnSite]]&lt;7, "Medium Visit", "Long Visit"))</f>
        <v>Medium Visit</v>
      </c>
      <c r="J22">
        <v>46</v>
      </c>
      <c r="K22">
        <v>4</v>
      </c>
      <c r="L22">
        <v>5</v>
      </c>
      <c r="M22">
        <v>7</v>
      </c>
      <c r="N22">
        <v>558</v>
      </c>
      <c r="O22">
        <v>1</v>
      </c>
    </row>
    <row r="23" spans="1:15" x14ac:dyDescent="0.35">
      <c r="A23">
        <v>8072</v>
      </c>
      <c r="B23">
        <v>21</v>
      </c>
      <c r="C23" t="s">
        <v>27</v>
      </c>
      <c r="D23">
        <v>28469</v>
      </c>
      <c r="E23" t="str">
        <f>IF(Customer_analytics[[#This Row],[Income]]&lt;50000, "Low", IF(Customer_analytics[[#This Row],[Income]]&lt;100000, "Mid", "High"))</f>
        <v>Low</v>
      </c>
      <c r="F23">
        <v>44</v>
      </c>
      <c r="G23">
        <v>5.41</v>
      </c>
      <c r="H23">
        <v>5.74</v>
      </c>
      <c r="I23" t="str">
        <f>IF(Customer_analytics[[#This Row],[TimeOnSite]]&lt;3, "Short Visit", IF(Customer_analytics[[#This Row],[TimeOnSite]]&lt;7, "Medium Visit", "Long Visit"))</f>
        <v>Medium Visit</v>
      </c>
      <c r="J23">
        <v>8</v>
      </c>
      <c r="K23">
        <v>5</v>
      </c>
      <c r="L23">
        <v>5</v>
      </c>
      <c r="M23">
        <v>4</v>
      </c>
      <c r="N23">
        <v>2761</v>
      </c>
      <c r="O23">
        <v>1</v>
      </c>
    </row>
    <row r="24" spans="1:15" x14ac:dyDescent="0.35">
      <c r="A24">
        <v>8074</v>
      </c>
      <c r="B24">
        <v>35</v>
      </c>
      <c r="C24" t="s">
        <v>21</v>
      </c>
      <c r="D24">
        <v>144866</v>
      </c>
      <c r="E24" t="str">
        <f>IF(Customer_analytics[[#This Row],[Income]]&lt;50000, "Low", IF(Customer_analytics[[#This Row],[Income]]&lt;100000, "Mid", "High"))</f>
        <v>High</v>
      </c>
      <c r="F24">
        <v>49</v>
      </c>
      <c r="G24">
        <v>3.81</v>
      </c>
      <c r="H24">
        <v>5.69</v>
      </c>
      <c r="I24" t="str">
        <f>IF(Customer_analytics[[#This Row],[TimeOnSite]]&lt;3, "Short Visit", IF(Customer_analytics[[#This Row],[TimeOnSite]]&lt;7, "Medium Visit", "Long Visit"))</f>
        <v>Medium Visit</v>
      </c>
      <c r="J24">
        <v>0</v>
      </c>
      <c r="K24">
        <v>8</v>
      </c>
      <c r="L24">
        <v>1</v>
      </c>
      <c r="M24">
        <v>8</v>
      </c>
      <c r="N24">
        <v>3483</v>
      </c>
      <c r="O24">
        <v>1</v>
      </c>
    </row>
    <row r="25" spans="1:15" x14ac:dyDescent="0.35">
      <c r="A25">
        <v>8084</v>
      </c>
      <c r="B25">
        <v>25</v>
      </c>
      <c r="C25" t="s">
        <v>27</v>
      </c>
      <c r="D25">
        <v>129122</v>
      </c>
      <c r="E25" t="str">
        <f>IF(Customer_analytics[[#This Row],[Income]]&lt;50000, "Low", IF(Customer_analytics[[#This Row],[Income]]&lt;100000, "Mid", "High"))</f>
        <v>High</v>
      </c>
      <c r="F25">
        <v>16</v>
      </c>
      <c r="G25">
        <v>6.24</v>
      </c>
      <c r="H25">
        <v>10.67</v>
      </c>
      <c r="I25" t="str">
        <f>IF(Customer_analytics[[#This Row],[TimeOnSite]]&lt;3, "Short Visit", IF(Customer_analytics[[#This Row],[TimeOnSite]]&lt;7, "Medium Visit", "Long Visit"))</f>
        <v>Long Visit</v>
      </c>
      <c r="J25">
        <v>59</v>
      </c>
      <c r="K25">
        <v>10</v>
      </c>
      <c r="L25">
        <v>6</v>
      </c>
      <c r="M25">
        <v>5</v>
      </c>
      <c r="N25">
        <v>928</v>
      </c>
      <c r="O25">
        <v>1</v>
      </c>
    </row>
    <row r="26" spans="1:15" x14ac:dyDescent="0.35">
      <c r="A26">
        <v>8085</v>
      </c>
      <c r="B26">
        <v>31</v>
      </c>
      <c r="C26" t="s">
        <v>21</v>
      </c>
      <c r="D26">
        <v>52259</v>
      </c>
      <c r="E26" t="str">
        <f>IF(Customer_analytics[[#This Row],[Income]]&lt;50000, "Low", IF(Customer_analytics[[#This Row],[Income]]&lt;100000, "Mid", "High"))</f>
        <v>Mid</v>
      </c>
      <c r="F26">
        <v>25</v>
      </c>
      <c r="G26">
        <v>6.49</v>
      </c>
      <c r="H26">
        <v>13.54</v>
      </c>
      <c r="I26" t="str">
        <f>IF(Customer_analytics[[#This Row],[TimeOnSite]]&lt;3, "Short Visit", IF(Customer_analytics[[#This Row],[TimeOnSite]]&lt;7, "Medium Visit", "Long Visit"))</f>
        <v>Long Visit</v>
      </c>
      <c r="J26">
        <v>87</v>
      </c>
      <c r="K26">
        <v>5</v>
      </c>
      <c r="L26">
        <v>1</v>
      </c>
      <c r="M26">
        <v>1</v>
      </c>
      <c r="N26">
        <v>1884</v>
      </c>
      <c r="O26">
        <v>1</v>
      </c>
    </row>
    <row r="27" spans="1:15" x14ac:dyDescent="0.35">
      <c r="A27">
        <v>8087</v>
      </c>
      <c r="B27">
        <v>57</v>
      </c>
      <c r="C27" t="s">
        <v>21</v>
      </c>
      <c r="D27">
        <v>106284</v>
      </c>
      <c r="E27" t="str">
        <f>IF(Customer_analytics[[#This Row],[Income]]&lt;50000, "Low", IF(Customer_analytics[[#This Row],[Income]]&lt;100000, "Mid", "High"))</f>
        <v>High</v>
      </c>
      <c r="F27">
        <v>43</v>
      </c>
      <c r="G27">
        <v>6.34</v>
      </c>
      <c r="H27">
        <v>1</v>
      </c>
      <c r="I27" t="str">
        <f>IF(Customer_analytics[[#This Row],[TimeOnSite]]&lt;3, "Short Visit", IF(Customer_analytics[[#This Row],[TimeOnSite]]&lt;7, "Medium Visit", "Long Visit"))</f>
        <v>Short Visit</v>
      </c>
      <c r="J27">
        <v>38</v>
      </c>
      <c r="K27">
        <v>6</v>
      </c>
      <c r="L27">
        <v>9</v>
      </c>
      <c r="M27">
        <v>9</v>
      </c>
      <c r="N27">
        <v>932</v>
      </c>
      <c r="O27">
        <v>1</v>
      </c>
    </row>
    <row r="28" spans="1:15" x14ac:dyDescent="0.35">
      <c r="A28">
        <v>8088</v>
      </c>
      <c r="B28">
        <v>38</v>
      </c>
      <c r="C28" t="s">
        <v>21</v>
      </c>
      <c r="D28">
        <v>105227</v>
      </c>
      <c r="E28" t="str">
        <f>IF(Customer_analytics[[#This Row],[Income]]&lt;50000, "Low", IF(Customer_analytics[[#This Row],[Income]]&lt;100000, "Mid", "High"))</f>
        <v>High</v>
      </c>
      <c r="F28">
        <v>6</v>
      </c>
      <c r="G28">
        <v>7.77</v>
      </c>
      <c r="H28">
        <v>6.03</v>
      </c>
      <c r="I28" t="str">
        <f>IF(Customer_analytics[[#This Row],[TimeOnSite]]&lt;3, "Short Visit", IF(Customer_analytics[[#This Row],[TimeOnSite]]&lt;7, "Medium Visit", "Long Visit"))</f>
        <v>Medium Visit</v>
      </c>
      <c r="J28">
        <v>2</v>
      </c>
      <c r="K28">
        <v>15</v>
      </c>
      <c r="L28">
        <v>6</v>
      </c>
      <c r="M28">
        <v>3</v>
      </c>
      <c r="N28">
        <v>3472</v>
      </c>
      <c r="O28">
        <v>1</v>
      </c>
    </row>
    <row r="29" spans="1:15" x14ac:dyDescent="0.35">
      <c r="A29">
        <v>8090</v>
      </c>
      <c r="B29">
        <v>62</v>
      </c>
      <c r="C29" t="s">
        <v>27</v>
      </c>
      <c r="D29">
        <v>63560</v>
      </c>
      <c r="E29" t="str">
        <f>IF(Customer_analytics[[#This Row],[Income]]&lt;50000, "Low", IF(Customer_analytics[[#This Row],[Income]]&lt;100000, "Mid", "High"))</f>
        <v>Mid</v>
      </c>
      <c r="F29">
        <v>34</v>
      </c>
      <c r="G29">
        <v>6.91</v>
      </c>
      <c r="H29">
        <v>9.8699999999999992</v>
      </c>
      <c r="I29" t="str">
        <f>IF(Customer_analytics[[#This Row],[TimeOnSite]]&lt;3, "Short Visit", IF(Customer_analytics[[#This Row],[TimeOnSite]]&lt;7, "Medium Visit", "Long Visit"))</f>
        <v>Long Visit</v>
      </c>
      <c r="J29">
        <v>67</v>
      </c>
      <c r="K29">
        <v>12</v>
      </c>
      <c r="L29">
        <v>5</v>
      </c>
      <c r="M29">
        <v>4</v>
      </c>
      <c r="N29">
        <v>3897</v>
      </c>
      <c r="O29">
        <v>1</v>
      </c>
    </row>
    <row r="30" spans="1:15" x14ac:dyDescent="0.35">
      <c r="A30">
        <v>8092</v>
      </c>
      <c r="B30">
        <v>64</v>
      </c>
      <c r="C30" t="s">
        <v>27</v>
      </c>
      <c r="D30">
        <v>26125</v>
      </c>
      <c r="E30" t="str">
        <f>IF(Customer_analytics[[#This Row],[Income]]&lt;50000, "Low", IF(Customer_analytics[[#This Row],[Income]]&lt;100000, "Mid", "High"))</f>
        <v>Low</v>
      </c>
      <c r="F30">
        <v>46</v>
      </c>
      <c r="G30">
        <v>5</v>
      </c>
      <c r="H30">
        <v>12.41</v>
      </c>
      <c r="I30" t="str">
        <f>IF(Customer_analytics[[#This Row],[TimeOnSite]]&lt;3, "Short Visit", IF(Customer_analytics[[#This Row],[TimeOnSite]]&lt;7, "Medium Visit", "Long Visit"))</f>
        <v>Long Visit</v>
      </c>
      <c r="J30">
        <v>66</v>
      </c>
      <c r="K30">
        <v>0</v>
      </c>
      <c r="L30">
        <v>7</v>
      </c>
      <c r="M30">
        <v>8</v>
      </c>
      <c r="N30">
        <v>2324</v>
      </c>
      <c r="O30">
        <v>1</v>
      </c>
    </row>
    <row r="31" spans="1:15" x14ac:dyDescent="0.35">
      <c r="A31">
        <v>8094</v>
      </c>
      <c r="B31">
        <v>43</v>
      </c>
      <c r="C31" t="s">
        <v>21</v>
      </c>
      <c r="D31">
        <v>24838</v>
      </c>
      <c r="E31" t="str">
        <f>IF(Customer_analytics[[#This Row],[Income]]&lt;50000, "Low", IF(Customer_analytics[[#This Row],[Income]]&lt;100000, "Mid", "High"))</f>
        <v>Low</v>
      </c>
      <c r="F31">
        <v>43</v>
      </c>
      <c r="G31">
        <v>6.64</v>
      </c>
      <c r="H31">
        <v>8.42</v>
      </c>
      <c r="I31" t="str">
        <f>IF(Customer_analytics[[#This Row],[TimeOnSite]]&lt;3, "Short Visit", IF(Customer_analytics[[#This Row],[TimeOnSite]]&lt;7, "Medium Visit", "Long Visit"))</f>
        <v>Long Visit</v>
      </c>
      <c r="J31">
        <v>57</v>
      </c>
      <c r="K31">
        <v>15</v>
      </c>
      <c r="L31">
        <v>9</v>
      </c>
      <c r="M31">
        <v>5</v>
      </c>
      <c r="N31">
        <v>3006</v>
      </c>
      <c r="O31">
        <v>1</v>
      </c>
    </row>
    <row r="32" spans="1:15" x14ac:dyDescent="0.35">
      <c r="A32">
        <v>8096</v>
      </c>
      <c r="B32">
        <v>62</v>
      </c>
      <c r="C32" t="s">
        <v>21</v>
      </c>
      <c r="D32">
        <v>77429</v>
      </c>
      <c r="E32" t="str">
        <f>IF(Customer_analytics[[#This Row],[Income]]&lt;50000, "Low", IF(Customer_analytics[[#This Row],[Income]]&lt;100000, "Mid", "High"))</f>
        <v>Mid</v>
      </c>
      <c r="F32">
        <v>0</v>
      </c>
      <c r="G32">
        <v>4.0199999999999996</v>
      </c>
      <c r="H32">
        <v>5.8</v>
      </c>
      <c r="I32" t="str">
        <f>IF(Customer_analytics[[#This Row],[TimeOnSite]]&lt;3, "Short Visit", IF(Customer_analytics[[#This Row],[TimeOnSite]]&lt;7, "Medium Visit", "Long Visit"))</f>
        <v>Medium Visit</v>
      </c>
      <c r="J32">
        <v>52</v>
      </c>
      <c r="K32">
        <v>11</v>
      </c>
      <c r="L32">
        <v>0</v>
      </c>
      <c r="M32">
        <v>3</v>
      </c>
      <c r="N32">
        <v>3482</v>
      </c>
      <c r="O32">
        <v>1</v>
      </c>
    </row>
    <row r="33" spans="1:15" x14ac:dyDescent="0.35">
      <c r="A33">
        <v>8097</v>
      </c>
      <c r="B33">
        <v>58</v>
      </c>
      <c r="C33" t="s">
        <v>27</v>
      </c>
      <c r="D33">
        <v>23134</v>
      </c>
      <c r="E33" t="str">
        <f>IF(Customer_analytics[[#This Row],[Income]]&lt;50000, "Low", IF(Customer_analytics[[#This Row],[Income]]&lt;100000, "Mid", "High"))</f>
        <v>Low</v>
      </c>
      <c r="F33">
        <v>24</v>
      </c>
      <c r="G33">
        <v>9.94</v>
      </c>
      <c r="H33">
        <v>1.3</v>
      </c>
      <c r="I33" t="str">
        <f>IF(Customer_analytics[[#This Row],[TimeOnSite]]&lt;3, "Short Visit", IF(Customer_analytics[[#This Row],[TimeOnSite]]&lt;7, "Medium Visit", "Long Visit"))</f>
        <v>Short Visit</v>
      </c>
      <c r="J33">
        <v>13</v>
      </c>
      <c r="K33">
        <v>8</v>
      </c>
      <c r="L33">
        <v>7</v>
      </c>
      <c r="M33">
        <v>4</v>
      </c>
      <c r="N33">
        <v>205</v>
      </c>
      <c r="O33">
        <v>1</v>
      </c>
    </row>
    <row r="34" spans="1:15" x14ac:dyDescent="0.35">
      <c r="A34">
        <v>8102</v>
      </c>
      <c r="B34">
        <v>42</v>
      </c>
      <c r="C34" t="s">
        <v>27</v>
      </c>
      <c r="D34">
        <v>53822</v>
      </c>
      <c r="E34" t="str">
        <f>IF(Customer_analytics[[#This Row],[Income]]&lt;50000, "Low", IF(Customer_analytics[[#This Row],[Income]]&lt;100000, "Mid", "High"))</f>
        <v>Mid</v>
      </c>
      <c r="F34">
        <v>38</v>
      </c>
      <c r="G34">
        <v>6.95</v>
      </c>
      <c r="H34">
        <v>10.16</v>
      </c>
      <c r="I34" t="str">
        <f>IF(Customer_analytics[[#This Row],[TimeOnSite]]&lt;3, "Short Visit", IF(Customer_analytics[[#This Row],[TimeOnSite]]&lt;7, "Medium Visit", "Long Visit"))</f>
        <v>Long Visit</v>
      </c>
      <c r="J34">
        <v>62</v>
      </c>
      <c r="K34">
        <v>9</v>
      </c>
      <c r="L34">
        <v>1</v>
      </c>
      <c r="M34">
        <v>5</v>
      </c>
      <c r="N34">
        <v>1506</v>
      </c>
      <c r="O34">
        <v>1</v>
      </c>
    </row>
    <row r="35" spans="1:15" x14ac:dyDescent="0.35">
      <c r="A35">
        <v>8103</v>
      </c>
      <c r="B35">
        <v>24</v>
      </c>
      <c r="C35" t="s">
        <v>27</v>
      </c>
      <c r="D35">
        <v>113513</v>
      </c>
      <c r="E35" t="str">
        <f>IF(Customer_analytics[[#This Row],[Income]]&lt;50000, "Low", IF(Customer_analytics[[#This Row],[Income]]&lt;100000, "Mid", "High"))</f>
        <v>High</v>
      </c>
      <c r="F35">
        <v>2</v>
      </c>
      <c r="G35">
        <v>3.8</v>
      </c>
      <c r="H35">
        <v>13.83</v>
      </c>
      <c r="I35" t="str">
        <f>IF(Customer_analytics[[#This Row],[TimeOnSite]]&lt;3, "Short Visit", IF(Customer_analytics[[#This Row],[TimeOnSite]]&lt;7, "Medium Visit", "Long Visit"))</f>
        <v>Long Visit</v>
      </c>
      <c r="J35">
        <v>60</v>
      </c>
      <c r="K35">
        <v>2</v>
      </c>
      <c r="L35">
        <v>4</v>
      </c>
      <c r="M35">
        <v>2</v>
      </c>
      <c r="N35">
        <v>1821</v>
      </c>
      <c r="O35">
        <v>1</v>
      </c>
    </row>
    <row r="36" spans="1:15" x14ac:dyDescent="0.35">
      <c r="A36">
        <v>8105</v>
      </c>
      <c r="B36">
        <v>41</v>
      </c>
      <c r="C36" t="s">
        <v>27</v>
      </c>
      <c r="D36">
        <v>83594</v>
      </c>
      <c r="E36" t="str">
        <f>IF(Customer_analytics[[#This Row],[Income]]&lt;50000, "Low", IF(Customer_analytics[[#This Row],[Income]]&lt;100000, "Mid", "High"))</f>
        <v>Mid</v>
      </c>
      <c r="F36">
        <v>44</v>
      </c>
      <c r="G36">
        <v>4.41</v>
      </c>
      <c r="H36">
        <v>1.08</v>
      </c>
      <c r="I36" t="str">
        <f>IF(Customer_analytics[[#This Row],[TimeOnSite]]&lt;3, "Short Visit", IF(Customer_analytics[[#This Row],[TimeOnSite]]&lt;7, "Medium Visit", "Long Visit"))</f>
        <v>Short Visit</v>
      </c>
      <c r="J36">
        <v>36</v>
      </c>
      <c r="K36">
        <v>11</v>
      </c>
      <c r="L36">
        <v>6</v>
      </c>
      <c r="M36">
        <v>5</v>
      </c>
      <c r="N36">
        <v>360</v>
      </c>
      <c r="O36">
        <v>1</v>
      </c>
    </row>
    <row r="37" spans="1:15" x14ac:dyDescent="0.35">
      <c r="A37">
        <v>8107</v>
      </c>
      <c r="B37">
        <v>61</v>
      </c>
      <c r="C37" t="s">
        <v>27</v>
      </c>
      <c r="D37">
        <v>22669</v>
      </c>
      <c r="E37" t="str">
        <f>IF(Customer_analytics[[#This Row],[Income]]&lt;50000, "Low", IF(Customer_analytics[[#This Row],[Income]]&lt;100000, "Mid", "High"))</f>
        <v>Low</v>
      </c>
      <c r="F37">
        <v>38</v>
      </c>
      <c r="G37">
        <v>5.6</v>
      </c>
      <c r="H37">
        <v>8.41</v>
      </c>
      <c r="I37" t="str">
        <f>IF(Customer_analytics[[#This Row],[TimeOnSite]]&lt;3, "Short Visit", IF(Customer_analytics[[#This Row],[TimeOnSite]]&lt;7, "Medium Visit", "Long Visit"))</f>
        <v>Long Visit</v>
      </c>
      <c r="J37">
        <v>88</v>
      </c>
      <c r="K37">
        <v>13</v>
      </c>
      <c r="L37">
        <v>4</v>
      </c>
      <c r="M37">
        <v>6</v>
      </c>
      <c r="N37">
        <v>3502</v>
      </c>
      <c r="O37">
        <v>1</v>
      </c>
    </row>
    <row r="38" spans="1:15" x14ac:dyDescent="0.35">
      <c r="A38">
        <v>8117</v>
      </c>
      <c r="B38">
        <v>22</v>
      </c>
      <c r="C38" t="s">
        <v>27</v>
      </c>
      <c r="D38">
        <v>36289</v>
      </c>
      <c r="E38" t="str">
        <f>IF(Customer_analytics[[#This Row],[Income]]&lt;50000, "Low", IF(Customer_analytics[[#This Row],[Income]]&lt;100000, "Mid", "High"))</f>
        <v>Low</v>
      </c>
      <c r="F38">
        <v>14</v>
      </c>
      <c r="G38">
        <v>3.94</v>
      </c>
      <c r="H38">
        <v>12.39</v>
      </c>
      <c r="I38" t="str">
        <f>IF(Customer_analytics[[#This Row],[TimeOnSite]]&lt;3, "Short Visit", IF(Customer_analytics[[#This Row],[TimeOnSite]]&lt;7, "Medium Visit", "Long Visit"))</f>
        <v>Long Visit</v>
      </c>
      <c r="J38">
        <v>57</v>
      </c>
      <c r="K38">
        <v>6</v>
      </c>
      <c r="L38">
        <v>9</v>
      </c>
      <c r="M38">
        <v>9</v>
      </c>
      <c r="N38">
        <v>4669</v>
      </c>
      <c r="O38">
        <v>1</v>
      </c>
    </row>
    <row r="39" spans="1:15" x14ac:dyDescent="0.35">
      <c r="A39">
        <v>8118</v>
      </c>
      <c r="B39">
        <v>59</v>
      </c>
      <c r="C39" t="s">
        <v>21</v>
      </c>
      <c r="D39">
        <v>44406</v>
      </c>
      <c r="E39" t="str">
        <f>IF(Customer_analytics[[#This Row],[Income]]&lt;50000, "Low", IF(Customer_analytics[[#This Row],[Income]]&lt;100000, "Mid", "High"))</f>
        <v>Low</v>
      </c>
      <c r="F39">
        <v>31</v>
      </c>
      <c r="G39">
        <v>1.73</v>
      </c>
      <c r="H39">
        <v>13.98</v>
      </c>
      <c r="I39" t="str">
        <f>IF(Customer_analytics[[#This Row],[TimeOnSite]]&lt;3, "Short Visit", IF(Customer_analytics[[#This Row],[TimeOnSite]]&lt;7, "Medium Visit", "Long Visit"))</f>
        <v>Long Visit</v>
      </c>
      <c r="J39">
        <v>39</v>
      </c>
      <c r="K39">
        <v>10</v>
      </c>
      <c r="L39">
        <v>0</v>
      </c>
      <c r="M39">
        <v>9</v>
      </c>
      <c r="N39">
        <v>2597</v>
      </c>
      <c r="O39">
        <v>1</v>
      </c>
    </row>
    <row r="40" spans="1:15" x14ac:dyDescent="0.35">
      <c r="A40">
        <v>8121</v>
      </c>
      <c r="B40">
        <v>45</v>
      </c>
      <c r="C40" t="s">
        <v>21</v>
      </c>
      <c r="D40">
        <v>32873</v>
      </c>
      <c r="E40" t="str">
        <f>IF(Customer_analytics[[#This Row],[Income]]&lt;50000, "Low", IF(Customer_analytics[[#This Row],[Income]]&lt;100000, "Mid", "High"))</f>
        <v>Low</v>
      </c>
      <c r="F40">
        <v>11</v>
      </c>
      <c r="G40">
        <v>7.89</v>
      </c>
      <c r="H40">
        <v>11.28</v>
      </c>
      <c r="I40" t="str">
        <f>IF(Customer_analytics[[#This Row],[TimeOnSite]]&lt;3, "Short Visit", IF(Customer_analytics[[#This Row],[TimeOnSite]]&lt;7, "Medium Visit", "Long Visit"))</f>
        <v>Long Visit</v>
      </c>
      <c r="J40">
        <v>90</v>
      </c>
      <c r="K40">
        <v>14</v>
      </c>
      <c r="L40">
        <v>6</v>
      </c>
      <c r="M40">
        <v>7</v>
      </c>
      <c r="N40">
        <v>3336</v>
      </c>
      <c r="O40">
        <v>1</v>
      </c>
    </row>
    <row r="41" spans="1:15" x14ac:dyDescent="0.35">
      <c r="A41">
        <v>8122</v>
      </c>
      <c r="B41">
        <v>24</v>
      </c>
      <c r="C41" t="s">
        <v>21</v>
      </c>
      <c r="D41">
        <v>145812</v>
      </c>
      <c r="E41" t="str">
        <f>IF(Customer_analytics[[#This Row],[Income]]&lt;50000, "Low", IF(Customer_analytics[[#This Row],[Income]]&lt;100000, "Mid", "High"))</f>
        <v>High</v>
      </c>
      <c r="F41">
        <v>24</v>
      </c>
      <c r="G41">
        <v>4.45</v>
      </c>
      <c r="H41">
        <v>6.9</v>
      </c>
      <c r="I41" t="str">
        <f>IF(Customer_analytics[[#This Row],[TimeOnSite]]&lt;3, "Short Visit", IF(Customer_analytics[[#This Row],[TimeOnSite]]&lt;7, "Medium Visit", "Long Visit"))</f>
        <v>Medium Visit</v>
      </c>
      <c r="J41">
        <v>14</v>
      </c>
      <c r="K41">
        <v>1</v>
      </c>
      <c r="L41">
        <v>6</v>
      </c>
      <c r="M41">
        <v>2</v>
      </c>
      <c r="N41">
        <v>4108</v>
      </c>
      <c r="O41">
        <v>1</v>
      </c>
    </row>
    <row r="42" spans="1:15" x14ac:dyDescent="0.35">
      <c r="A42">
        <v>8123</v>
      </c>
      <c r="B42">
        <v>26</v>
      </c>
      <c r="C42" t="s">
        <v>27</v>
      </c>
      <c r="D42">
        <v>102048</v>
      </c>
      <c r="E42" t="str">
        <f>IF(Customer_analytics[[#This Row],[Income]]&lt;50000, "Low", IF(Customer_analytics[[#This Row],[Income]]&lt;100000, "Mid", "High"))</f>
        <v>High</v>
      </c>
      <c r="F42">
        <v>33</v>
      </c>
      <c r="G42">
        <v>1.71</v>
      </c>
      <c r="H42">
        <v>6.2</v>
      </c>
      <c r="I42" t="str">
        <f>IF(Customer_analytics[[#This Row],[TimeOnSite]]&lt;3, "Short Visit", IF(Customer_analytics[[#This Row],[TimeOnSite]]&lt;7, "Medium Visit", "Long Visit"))</f>
        <v>Medium Visit</v>
      </c>
      <c r="J42">
        <v>84</v>
      </c>
      <c r="K42">
        <v>11</v>
      </c>
      <c r="L42">
        <v>7</v>
      </c>
      <c r="M42">
        <v>9</v>
      </c>
      <c r="N42">
        <v>3310</v>
      </c>
      <c r="O42">
        <v>1</v>
      </c>
    </row>
    <row r="43" spans="1:15" x14ac:dyDescent="0.35">
      <c r="A43">
        <v>8126</v>
      </c>
      <c r="B43">
        <v>51</v>
      </c>
      <c r="C43" t="s">
        <v>21</v>
      </c>
      <c r="D43">
        <v>40710</v>
      </c>
      <c r="E43" t="str">
        <f>IF(Customer_analytics[[#This Row],[Income]]&lt;50000, "Low", IF(Customer_analytics[[#This Row],[Income]]&lt;100000, "Mid", "High"))</f>
        <v>Low</v>
      </c>
      <c r="F43">
        <v>44</v>
      </c>
      <c r="G43">
        <v>2.62</v>
      </c>
      <c r="H43">
        <v>3.68</v>
      </c>
      <c r="I43" t="str">
        <f>IF(Customer_analytics[[#This Row],[TimeOnSite]]&lt;3, "Short Visit", IF(Customer_analytics[[#This Row],[TimeOnSite]]&lt;7, "Medium Visit", "Long Visit"))</f>
        <v>Medium Visit</v>
      </c>
      <c r="J43">
        <v>4</v>
      </c>
      <c r="K43">
        <v>9</v>
      </c>
      <c r="L43">
        <v>9</v>
      </c>
      <c r="M43">
        <v>4</v>
      </c>
      <c r="N43">
        <v>4652</v>
      </c>
      <c r="O43">
        <v>1</v>
      </c>
    </row>
    <row r="44" spans="1:15" x14ac:dyDescent="0.35">
      <c r="A44">
        <v>8128</v>
      </c>
      <c r="B44">
        <v>65</v>
      </c>
      <c r="C44" t="s">
        <v>27</v>
      </c>
      <c r="D44">
        <v>33448</v>
      </c>
      <c r="E44" t="str">
        <f>IF(Customer_analytics[[#This Row],[Income]]&lt;50000, "Low", IF(Customer_analytics[[#This Row],[Income]]&lt;100000, "Mid", "High"))</f>
        <v>Low</v>
      </c>
      <c r="F44">
        <v>24</v>
      </c>
      <c r="G44">
        <v>5.82</v>
      </c>
      <c r="H44">
        <v>2.46</v>
      </c>
      <c r="I44" t="str">
        <f>IF(Customer_analytics[[#This Row],[TimeOnSite]]&lt;3, "Short Visit", IF(Customer_analytics[[#This Row],[TimeOnSite]]&lt;7, "Medium Visit", "Long Visit"))</f>
        <v>Short Visit</v>
      </c>
      <c r="J44">
        <v>69</v>
      </c>
      <c r="K44">
        <v>7</v>
      </c>
      <c r="L44">
        <v>8</v>
      </c>
      <c r="M44">
        <v>3</v>
      </c>
      <c r="N44">
        <v>596</v>
      </c>
      <c r="O44">
        <v>1</v>
      </c>
    </row>
    <row r="45" spans="1:15" x14ac:dyDescent="0.35">
      <c r="A45">
        <v>8130</v>
      </c>
      <c r="B45">
        <v>41</v>
      </c>
      <c r="C45" t="s">
        <v>21</v>
      </c>
      <c r="D45">
        <v>93158</v>
      </c>
      <c r="E45" t="str">
        <f>IF(Customer_analytics[[#This Row],[Income]]&lt;50000, "Low", IF(Customer_analytics[[#This Row],[Income]]&lt;100000, "Mid", "High"))</f>
        <v>Mid</v>
      </c>
      <c r="F45">
        <v>13</v>
      </c>
      <c r="G45">
        <v>5.08</v>
      </c>
      <c r="H45">
        <v>3.67</v>
      </c>
      <c r="I45" t="str">
        <f>IF(Customer_analytics[[#This Row],[TimeOnSite]]&lt;3, "Short Visit", IF(Customer_analytics[[#This Row],[TimeOnSite]]&lt;7, "Medium Visit", "Long Visit"))</f>
        <v>Medium Visit</v>
      </c>
      <c r="J45">
        <v>27</v>
      </c>
      <c r="K45">
        <v>19</v>
      </c>
      <c r="L45">
        <v>6</v>
      </c>
      <c r="M45">
        <v>5</v>
      </c>
      <c r="N45">
        <v>2530</v>
      </c>
      <c r="O45">
        <v>1</v>
      </c>
    </row>
    <row r="46" spans="1:15" x14ac:dyDescent="0.35">
      <c r="A46">
        <v>8131</v>
      </c>
      <c r="B46">
        <v>54</v>
      </c>
      <c r="C46" t="s">
        <v>21</v>
      </c>
      <c r="D46">
        <v>126384</v>
      </c>
      <c r="E46" t="str">
        <f>IF(Customer_analytics[[#This Row],[Income]]&lt;50000, "Low", IF(Customer_analytics[[#This Row],[Income]]&lt;100000, "Mid", "High"))</f>
        <v>High</v>
      </c>
      <c r="F46">
        <v>35</v>
      </c>
      <c r="G46">
        <v>9.39</v>
      </c>
      <c r="H46">
        <v>12.59</v>
      </c>
      <c r="I46" t="str">
        <f>IF(Customer_analytics[[#This Row],[TimeOnSite]]&lt;3, "Short Visit", IF(Customer_analytics[[#This Row],[TimeOnSite]]&lt;7, "Medium Visit", "Long Visit"))</f>
        <v>Long Visit</v>
      </c>
      <c r="J46">
        <v>53</v>
      </c>
      <c r="K46">
        <v>4</v>
      </c>
      <c r="L46">
        <v>6</v>
      </c>
      <c r="M46">
        <v>0</v>
      </c>
      <c r="N46">
        <v>3755</v>
      </c>
      <c r="O46">
        <v>1</v>
      </c>
    </row>
    <row r="47" spans="1:15" x14ac:dyDescent="0.35">
      <c r="A47">
        <v>8142</v>
      </c>
      <c r="B47">
        <v>31</v>
      </c>
      <c r="C47" t="s">
        <v>21</v>
      </c>
      <c r="D47">
        <v>78186</v>
      </c>
      <c r="E47" t="str">
        <f>IF(Customer_analytics[[#This Row],[Income]]&lt;50000, "Low", IF(Customer_analytics[[#This Row],[Income]]&lt;100000, "Mid", "High"))</f>
        <v>Mid</v>
      </c>
      <c r="F47">
        <v>38</v>
      </c>
      <c r="G47">
        <v>5.53</v>
      </c>
      <c r="H47">
        <v>7.24</v>
      </c>
      <c r="I47" t="str">
        <f>IF(Customer_analytics[[#This Row],[TimeOnSite]]&lt;3, "Short Visit", IF(Customer_analytics[[#This Row],[TimeOnSite]]&lt;7, "Medium Visit", "Long Visit"))</f>
        <v>Long Visit</v>
      </c>
      <c r="J47">
        <v>12</v>
      </c>
      <c r="K47">
        <v>19</v>
      </c>
      <c r="L47">
        <v>0</v>
      </c>
      <c r="M47">
        <v>1</v>
      </c>
      <c r="N47">
        <v>1913</v>
      </c>
      <c r="O47">
        <v>0</v>
      </c>
    </row>
    <row r="48" spans="1:15" x14ac:dyDescent="0.35">
      <c r="A48">
        <v>8147</v>
      </c>
      <c r="B48">
        <v>31</v>
      </c>
      <c r="C48" t="s">
        <v>27</v>
      </c>
      <c r="D48">
        <v>126887</v>
      </c>
      <c r="E48" t="str">
        <f>IF(Customer_analytics[[#This Row],[Income]]&lt;50000, "Low", IF(Customer_analytics[[#This Row],[Income]]&lt;100000, "Mid", "High"))</f>
        <v>High</v>
      </c>
      <c r="F48">
        <v>36</v>
      </c>
      <c r="G48">
        <v>5.64</v>
      </c>
      <c r="H48">
        <v>13.77</v>
      </c>
      <c r="I48" t="str">
        <f>IF(Customer_analytics[[#This Row],[TimeOnSite]]&lt;3, "Short Visit", IF(Customer_analytics[[#This Row],[TimeOnSite]]&lt;7, "Medium Visit", "Long Visit"))</f>
        <v>Long Visit</v>
      </c>
      <c r="J48">
        <v>58</v>
      </c>
      <c r="K48">
        <v>7</v>
      </c>
      <c r="L48">
        <v>7</v>
      </c>
      <c r="M48">
        <v>9</v>
      </c>
      <c r="N48">
        <v>3096</v>
      </c>
      <c r="O48">
        <v>1</v>
      </c>
    </row>
    <row r="49" spans="1:15" x14ac:dyDescent="0.35">
      <c r="A49">
        <v>8149</v>
      </c>
      <c r="B49">
        <v>44</v>
      </c>
      <c r="C49" t="s">
        <v>27</v>
      </c>
      <c r="D49">
        <v>45476</v>
      </c>
      <c r="E49" t="str">
        <f>IF(Customer_analytics[[#This Row],[Income]]&lt;50000, "Low", IF(Customer_analytics[[#This Row],[Income]]&lt;100000, "Mid", "High"))</f>
        <v>Low</v>
      </c>
      <c r="F49">
        <v>35</v>
      </c>
      <c r="G49">
        <v>3.29</v>
      </c>
      <c r="H49">
        <v>3.37</v>
      </c>
      <c r="I49" t="str">
        <f>IF(Customer_analytics[[#This Row],[TimeOnSite]]&lt;3, "Short Visit", IF(Customer_analytics[[#This Row],[TimeOnSite]]&lt;7, "Medium Visit", "Long Visit"))</f>
        <v>Medium Visit</v>
      </c>
      <c r="J49">
        <v>71</v>
      </c>
      <c r="K49">
        <v>14</v>
      </c>
      <c r="L49">
        <v>6</v>
      </c>
      <c r="M49">
        <v>7</v>
      </c>
      <c r="N49">
        <v>252</v>
      </c>
      <c r="O49">
        <v>1</v>
      </c>
    </row>
    <row r="50" spans="1:15" x14ac:dyDescent="0.35">
      <c r="A50">
        <v>8156</v>
      </c>
      <c r="B50">
        <v>68</v>
      </c>
      <c r="C50" t="s">
        <v>27</v>
      </c>
      <c r="D50">
        <v>51653</v>
      </c>
      <c r="E50" t="str">
        <f>IF(Customer_analytics[[#This Row],[Income]]&lt;50000, "Low", IF(Customer_analytics[[#This Row],[Income]]&lt;100000, "Mid", "High"))</f>
        <v>Mid</v>
      </c>
      <c r="F50">
        <v>7</v>
      </c>
      <c r="G50">
        <v>2.54</v>
      </c>
      <c r="H50">
        <v>12.72</v>
      </c>
      <c r="I50" t="str">
        <f>IF(Customer_analytics[[#This Row],[TimeOnSite]]&lt;3, "Short Visit", IF(Customer_analytics[[#This Row],[TimeOnSite]]&lt;7, "Medium Visit", "Long Visit"))</f>
        <v>Long Visit</v>
      </c>
      <c r="J50">
        <v>57</v>
      </c>
      <c r="K50">
        <v>18</v>
      </c>
      <c r="L50">
        <v>4</v>
      </c>
      <c r="M50">
        <v>4</v>
      </c>
      <c r="N50">
        <v>2699</v>
      </c>
      <c r="O50">
        <v>1</v>
      </c>
    </row>
    <row r="51" spans="1:15" x14ac:dyDescent="0.35">
      <c r="A51">
        <v>8159</v>
      </c>
      <c r="B51">
        <v>66</v>
      </c>
      <c r="C51" t="s">
        <v>27</v>
      </c>
      <c r="D51">
        <v>39629</v>
      </c>
      <c r="E51" t="str">
        <f>IF(Customer_analytics[[#This Row],[Income]]&lt;50000, "Low", IF(Customer_analytics[[#This Row],[Income]]&lt;100000, "Mid", "High"))</f>
        <v>Low</v>
      </c>
      <c r="F51">
        <v>15</v>
      </c>
      <c r="G51">
        <v>6.28</v>
      </c>
      <c r="H51">
        <v>6.79</v>
      </c>
      <c r="I51" t="str">
        <f>IF(Customer_analytics[[#This Row],[TimeOnSite]]&lt;3, "Short Visit", IF(Customer_analytics[[#This Row],[TimeOnSite]]&lt;7, "Medium Visit", "Long Visit"))</f>
        <v>Medium Visit</v>
      </c>
      <c r="J51">
        <v>92</v>
      </c>
      <c r="K51">
        <v>11</v>
      </c>
      <c r="L51">
        <v>1</v>
      </c>
      <c r="M51">
        <v>5</v>
      </c>
      <c r="N51">
        <v>2503</v>
      </c>
      <c r="O51">
        <v>1</v>
      </c>
    </row>
    <row r="52" spans="1:15" x14ac:dyDescent="0.35">
      <c r="A52">
        <v>8165</v>
      </c>
      <c r="B52">
        <v>40</v>
      </c>
      <c r="C52" t="s">
        <v>21</v>
      </c>
      <c r="D52">
        <v>39322</v>
      </c>
      <c r="E52" t="str">
        <f>IF(Customer_analytics[[#This Row],[Income]]&lt;50000, "Low", IF(Customer_analytics[[#This Row],[Income]]&lt;100000, "Mid", "High"))</f>
        <v>Low</v>
      </c>
      <c r="F52">
        <v>33</v>
      </c>
      <c r="G52">
        <v>6.2</v>
      </c>
      <c r="H52">
        <v>10.86</v>
      </c>
      <c r="I52" t="str">
        <f>IF(Customer_analytics[[#This Row],[TimeOnSite]]&lt;3, "Short Visit", IF(Customer_analytics[[#This Row],[TimeOnSite]]&lt;7, "Medium Visit", "Long Visit"))</f>
        <v>Long Visit</v>
      </c>
      <c r="J52">
        <v>19</v>
      </c>
      <c r="K52">
        <v>8</v>
      </c>
      <c r="L52">
        <v>5</v>
      </c>
      <c r="M52">
        <v>0</v>
      </c>
      <c r="N52">
        <v>1775</v>
      </c>
      <c r="O52">
        <v>1</v>
      </c>
    </row>
    <row r="53" spans="1:15" x14ac:dyDescent="0.35">
      <c r="A53">
        <v>8167</v>
      </c>
      <c r="B53">
        <v>62</v>
      </c>
      <c r="C53" t="s">
        <v>21</v>
      </c>
      <c r="D53">
        <v>135637</v>
      </c>
      <c r="E53" t="str">
        <f>IF(Customer_analytics[[#This Row],[Income]]&lt;50000, "Low", IF(Customer_analytics[[#This Row],[Income]]&lt;100000, "Mid", "High"))</f>
        <v>High</v>
      </c>
      <c r="F53">
        <v>39</v>
      </c>
      <c r="G53">
        <v>2.82</v>
      </c>
      <c r="H53">
        <v>9.6199999999999992</v>
      </c>
      <c r="I53" t="str">
        <f>IF(Customer_analytics[[#This Row],[TimeOnSite]]&lt;3, "Short Visit", IF(Customer_analytics[[#This Row],[TimeOnSite]]&lt;7, "Medium Visit", "Long Visit"))</f>
        <v>Long Visit</v>
      </c>
      <c r="J53">
        <v>25</v>
      </c>
      <c r="K53">
        <v>11</v>
      </c>
      <c r="L53">
        <v>8</v>
      </c>
      <c r="M53">
        <v>7</v>
      </c>
      <c r="N53">
        <v>927</v>
      </c>
      <c r="O53">
        <v>1</v>
      </c>
    </row>
    <row r="54" spans="1:15" x14ac:dyDescent="0.35">
      <c r="A54">
        <v>8171</v>
      </c>
      <c r="B54">
        <v>53</v>
      </c>
      <c r="C54" t="s">
        <v>27</v>
      </c>
      <c r="D54">
        <v>122379</v>
      </c>
      <c r="E54" t="str">
        <f>IF(Customer_analytics[[#This Row],[Income]]&lt;50000, "Low", IF(Customer_analytics[[#This Row],[Income]]&lt;100000, "Mid", "High"))</f>
        <v>High</v>
      </c>
      <c r="F54">
        <v>26</v>
      </c>
      <c r="G54">
        <v>7.76</v>
      </c>
      <c r="H54">
        <v>1.27</v>
      </c>
      <c r="I54" t="str">
        <f>IF(Customer_analytics[[#This Row],[TimeOnSite]]&lt;3, "Short Visit", IF(Customer_analytics[[#This Row],[TimeOnSite]]&lt;7, "Medium Visit", "Long Visit"))</f>
        <v>Short Visit</v>
      </c>
      <c r="J54">
        <v>81</v>
      </c>
      <c r="K54">
        <v>4</v>
      </c>
      <c r="L54">
        <v>6</v>
      </c>
      <c r="M54">
        <v>0</v>
      </c>
      <c r="N54">
        <v>3396</v>
      </c>
      <c r="O54">
        <v>1</v>
      </c>
    </row>
    <row r="55" spans="1:15" x14ac:dyDescent="0.35">
      <c r="A55">
        <v>8172</v>
      </c>
      <c r="B55">
        <v>30</v>
      </c>
      <c r="C55" t="s">
        <v>27</v>
      </c>
      <c r="D55">
        <v>32651</v>
      </c>
      <c r="E55" t="str">
        <f>IF(Customer_analytics[[#This Row],[Income]]&lt;50000, "Low", IF(Customer_analytics[[#This Row],[Income]]&lt;100000, "Mid", "High"))</f>
        <v>Low</v>
      </c>
      <c r="F55">
        <v>18</v>
      </c>
      <c r="G55">
        <v>7.74</v>
      </c>
      <c r="H55">
        <v>8.4</v>
      </c>
      <c r="I55" t="str">
        <f>IF(Customer_analytics[[#This Row],[TimeOnSite]]&lt;3, "Short Visit", IF(Customer_analytics[[#This Row],[TimeOnSite]]&lt;7, "Medium Visit", "Long Visit"))</f>
        <v>Long Visit</v>
      </c>
      <c r="J55">
        <v>58</v>
      </c>
      <c r="K55">
        <v>11</v>
      </c>
      <c r="L55">
        <v>2</v>
      </c>
      <c r="M55">
        <v>0</v>
      </c>
      <c r="N55">
        <v>3426</v>
      </c>
      <c r="O55">
        <v>1</v>
      </c>
    </row>
    <row r="56" spans="1:15" x14ac:dyDescent="0.35">
      <c r="A56">
        <v>8173</v>
      </c>
      <c r="B56">
        <v>49</v>
      </c>
      <c r="C56" t="s">
        <v>21</v>
      </c>
      <c r="D56">
        <v>45966</v>
      </c>
      <c r="E56" t="str">
        <f>IF(Customer_analytics[[#This Row],[Income]]&lt;50000, "Low", IF(Customer_analytics[[#This Row],[Income]]&lt;100000, "Mid", "High"))</f>
        <v>Low</v>
      </c>
      <c r="F56">
        <v>25</v>
      </c>
      <c r="G56">
        <v>4.74</v>
      </c>
      <c r="H56">
        <v>5.72</v>
      </c>
      <c r="I56" t="str">
        <f>IF(Customer_analytics[[#This Row],[TimeOnSite]]&lt;3, "Short Visit", IF(Customer_analytics[[#This Row],[TimeOnSite]]&lt;7, "Medium Visit", "Long Visit"))</f>
        <v>Medium Visit</v>
      </c>
      <c r="J56">
        <v>2</v>
      </c>
      <c r="K56">
        <v>11</v>
      </c>
      <c r="L56">
        <v>0</v>
      </c>
      <c r="M56">
        <v>2</v>
      </c>
      <c r="N56">
        <v>3060</v>
      </c>
      <c r="O56">
        <v>1</v>
      </c>
    </row>
    <row r="57" spans="1:15" x14ac:dyDescent="0.35">
      <c r="A57">
        <v>8181</v>
      </c>
      <c r="B57">
        <v>23</v>
      </c>
      <c r="C57" t="s">
        <v>21</v>
      </c>
      <c r="D57">
        <v>59727</v>
      </c>
      <c r="E57" t="str">
        <f>IF(Customer_analytics[[#This Row],[Income]]&lt;50000, "Low", IF(Customer_analytics[[#This Row],[Income]]&lt;100000, "Mid", "High"))</f>
        <v>Mid</v>
      </c>
      <c r="F57">
        <v>26</v>
      </c>
      <c r="G57">
        <v>7.27</v>
      </c>
      <c r="H57">
        <v>1.08</v>
      </c>
      <c r="I57" t="str">
        <f>IF(Customer_analytics[[#This Row],[TimeOnSite]]&lt;3, "Short Visit", IF(Customer_analytics[[#This Row],[TimeOnSite]]&lt;7, "Medium Visit", "Long Visit"))</f>
        <v>Short Visit</v>
      </c>
      <c r="J57">
        <v>29</v>
      </c>
      <c r="K57">
        <v>14</v>
      </c>
      <c r="L57">
        <v>1</v>
      </c>
      <c r="M57">
        <v>9</v>
      </c>
      <c r="N57">
        <v>126</v>
      </c>
      <c r="O57">
        <v>1</v>
      </c>
    </row>
    <row r="58" spans="1:15" x14ac:dyDescent="0.35">
      <c r="A58">
        <v>8190</v>
      </c>
      <c r="B58">
        <v>42</v>
      </c>
      <c r="C58" t="s">
        <v>21</v>
      </c>
      <c r="D58">
        <v>23476</v>
      </c>
      <c r="E58" t="str">
        <f>IF(Customer_analytics[[#This Row],[Income]]&lt;50000, "Low", IF(Customer_analytics[[#This Row],[Income]]&lt;100000, "Mid", "High"))</f>
        <v>Low</v>
      </c>
      <c r="F58">
        <v>3</v>
      </c>
      <c r="G58">
        <v>9.75</v>
      </c>
      <c r="H58">
        <v>12.7</v>
      </c>
      <c r="I58" t="str">
        <f>IF(Customer_analytics[[#This Row],[TimeOnSite]]&lt;3, "Short Visit", IF(Customer_analytics[[#This Row],[TimeOnSite]]&lt;7, "Medium Visit", "Long Visit"))</f>
        <v>Long Visit</v>
      </c>
      <c r="J58">
        <v>56</v>
      </c>
      <c r="K58">
        <v>7</v>
      </c>
      <c r="L58">
        <v>7</v>
      </c>
      <c r="M58">
        <v>2</v>
      </c>
      <c r="N58">
        <v>1278</v>
      </c>
      <c r="O58">
        <v>1</v>
      </c>
    </row>
    <row r="59" spans="1:15" x14ac:dyDescent="0.35">
      <c r="A59">
        <v>8194</v>
      </c>
      <c r="B59">
        <v>44</v>
      </c>
      <c r="C59" t="s">
        <v>27</v>
      </c>
      <c r="D59">
        <v>111269</v>
      </c>
      <c r="E59" t="str">
        <f>IF(Customer_analytics[[#This Row],[Income]]&lt;50000, "Low", IF(Customer_analytics[[#This Row],[Income]]&lt;100000, "Mid", "High"))</f>
        <v>High</v>
      </c>
      <c r="F59">
        <v>20</v>
      </c>
      <c r="G59">
        <v>1.37</v>
      </c>
      <c r="H59">
        <v>10.18</v>
      </c>
      <c r="I59" t="str">
        <f>IF(Customer_analytics[[#This Row],[TimeOnSite]]&lt;3, "Short Visit", IF(Customer_analytics[[#This Row],[TimeOnSite]]&lt;7, "Medium Visit", "Long Visit"))</f>
        <v>Long Visit</v>
      </c>
      <c r="J59">
        <v>16</v>
      </c>
      <c r="K59">
        <v>10</v>
      </c>
      <c r="L59">
        <v>3</v>
      </c>
      <c r="M59">
        <v>2</v>
      </c>
      <c r="N59">
        <v>1529</v>
      </c>
      <c r="O59">
        <v>1</v>
      </c>
    </row>
    <row r="60" spans="1:15" x14ac:dyDescent="0.35">
      <c r="A60">
        <v>8195</v>
      </c>
      <c r="B60">
        <v>69</v>
      </c>
      <c r="C60" t="s">
        <v>21</v>
      </c>
      <c r="D60">
        <v>97994</v>
      </c>
      <c r="E60" t="str">
        <f>IF(Customer_analytics[[#This Row],[Income]]&lt;50000, "Low", IF(Customer_analytics[[#This Row],[Income]]&lt;100000, "Mid", "High"))</f>
        <v>Mid</v>
      </c>
      <c r="F60">
        <v>42</v>
      </c>
      <c r="G60">
        <v>8.4700000000000006</v>
      </c>
      <c r="H60">
        <v>14.23</v>
      </c>
      <c r="I60" t="str">
        <f>IF(Customer_analytics[[#This Row],[TimeOnSite]]&lt;3, "Short Visit", IF(Customer_analytics[[#This Row],[TimeOnSite]]&lt;7, "Medium Visit", "Long Visit"))</f>
        <v>Long Visit</v>
      </c>
      <c r="J60">
        <v>52</v>
      </c>
      <c r="K60">
        <v>7</v>
      </c>
      <c r="L60">
        <v>5</v>
      </c>
      <c r="M60">
        <v>1</v>
      </c>
      <c r="N60">
        <v>50</v>
      </c>
      <c r="O60">
        <v>1</v>
      </c>
    </row>
    <row r="61" spans="1:15" x14ac:dyDescent="0.35">
      <c r="A61">
        <v>8196</v>
      </c>
      <c r="B61">
        <v>30</v>
      </c>
      <c r="C61" t="s">
        <v>21</v>
      </c>
      <c r="D61">
        <v>82878</v>
      </c>
      <c r="E61" t="str">
        <f>IF(Customer_analytics[[#This Row],[Income]]&lt;50000, "Low", IF(Customer_analytics[[#This Row],[Income]]&lt;100000, "Mid", "High"))</f>
        <v>Mid</v>
      </c>
      <c r="F61">
        <v>38</v>
      </c>
      <c r="G61">
        <v>7.65</v>
      </c>
      <c r="H61">
        <v>5.1100000000000003</v>
      </c>
      <c r="I61" t="str">
        <f>IF(Customer_analytics[[#This Row],[TimeOnSite]]&lt;3, "Short Visit", IF(Customer_analytics[[#This Row],[TimeOnSite]]&lt;7, "Medium Visit", "Long Visit"))</f>
        <v>Medium Visit</v>
      </c>
      <c r="J61">
        <v>39</v>
      </c>
      <c r="K61">
        <v>5</v>
      </c>
      <c r="L61">
        <v>0</v>
      </c>
      <c r="M61">
        <v>0</v>
      </c>
      <c r="N61">
        <v>844</v>
      </c>
      <c r="O61">
        <v>0</v>
      </c>
    </row>
    <row r="62" spans="1:15" x14ac:dyDescent="0.35">
      <c r="A62">
        <v>8201</v>
      </c>
      <c r="B62">
        <v>25</v>
      </c>
      <c r="C62" t="s">
        <v>21</v>
      </c>
      <c r="D62">
        <v>88560</v>
      </c>
      <c r="E62" t="str">
        <f>IF(Customer_analytics[[#This Row],[Income]]&lt;50000, "Low", IF(Customer_analytics[[#This Row],[Income]]&lt;100000, "Mid", "High"))</f>
        <v>Mid</v>
      </c>
      <c r="F62">
        <v>43</v>
      </c>
      <c r="G62">
        <v>8.1999999999999993</v>
      </c>
      <c r="H62">
        <v>14.3</v>
      </c>
      <c r="I62" t="str">
        <f>IF(Customer_analytics[[#This Row],[TimeOnSite]]&lt;3, "Short Visit", IF(Customer_analytics[[#This Row],[TimeOnSite]]&lt;7, "Medium Visit", "Long Visit"))</f>
        <v>Long Visit</v>
      </c>
      <c r="J62">
        <v>71</v>
      </c>
      <c r="K62">
        <v>7</v>
      </c>
      <c r="L62">
        <v>1</v>
      </c>
      <c r="M62">
        <v>2</v>
      </c>
      <c r="N62">
        <v>1764</v>
      </c>
      <c r="O62">
        <v>1</v>
      </c>
    </row>
    <row r="63" spans="1:15" x14ac:dyDescent="0.35">
      <c r="A63">
        <v>8203</v>
      </c>
      <c r="B63">
        <v>26</v>
      </c>
      <c r="C63" t="s">
        <v>27</v>
      </c>
      <c r="D63">
        <v>82968</v>
      </c>
      <c r="E63" t="str">
        <f>IF(Customer_analytics[[#This Row],[Income]]&lt;50000, "Low", IF(Customer_analytics[[#This Row],[Income]]&lt;100000, "Mid", "High"))</f>
        <v>Mid</v>
      </c>
      <c r="F63">
        <v>32</v>
      </c>
      <c r="G63">
        <v>5.66</v>
      </c>
      <c r="H63">
        <v>3.7</v>
      </c>
      <c r="I63" t="str">
        <f>IF(Customer_analytics[[#This Row],[TimeOnSite]]&lt;3, "Short Visit", IF(Customer_analytics[[#This Row],[TimeOnSite]]&lt;7, "Medium Visit", "Long Visit"))</f>
        <v>Medium Visit</v>
      </c>
      <c r="J63">
        <v>29</v>
      </c>
      <c r="K63">
        <v>9</v>
      </c>
      <c r="L63">
        <v>2</v>
      </c>
      <c r="M63">
        <v>3</v>
      </c>
      <c r="N63">
        <v>1014</v>
      </c>
      <c r="O63">
        <v>1</v>
      </c>
    </row>
    <row r="64" spans="1:15" x14ac:dyDescent="0.35">
      <c r="A64">
        <v>8208</v>
      </c>
      <c r="B64">
        <v>61</v>
      </c>
      <c r="C64" t="s">
        <v>21</v>
      </c>
      <c r="D64">
        <v>26577</v>
      </c>
      <c r="E64" t="str">
        <f>IF(Customer_analytics[[#This Row],[Income]]&lt;50000, "Low", IF(Customer_analytics[[#This Row],[Income]]&lt;100000, "Mid", "High"))</f>
        <v>Low</v>
      </c>
      <c r="F64">
        <v>13</v>
      </c>
      <c r="G64">
        <v>7.98</v>
      </c>
      <c r="H64">
        <v>4.3600000000000003</v>
      </c>
      <c r="I64" t="str">
        <f>IF(Customer_analytics[[#This Row],[TimeOnSite]]&lt;3, "Short Visit", IF(Customer_analytics[[#This Row],[TimeOnSite]]&lt;7, "Medium Visit", "Long Visit"))</f>
        <v>Medium Visit</v>
      </c>
      <c r="J64">
        <v>56</v>
      </c>
      <c r="K64">
        <v>3</v>
      </c>
      <c r="L64">
        <v>5</v>
      </c>
      <c r="M64">
        <v>8</v>
      </c>
      <c r="N64">
        <v>446</v>
      </c>
      <c r="O64">
        <v>1</v>
      </c>
    </row>
    <row r="65" spans="1:15" x14ac:dyDescent="0.35">
      <c r="A65">
        <v>8209</v>
      </c>
      <c r="B65">
        <v>41</v>
      </c>
      <c r="C65" t="s">
        <v>21</v>
      </c>
      <c r="D65">
        <v>103171</v>
      </c>
      <c r="E65" t="str">
        <f>IF(Customer_analytics[[#This Row],[Income]]&lt;50000, "Low", IF(Customer_analytics[[#This Row],[Income]]&lt;100000, "Mid", "High"))</f>
        <v>High</v>
      </c>
      <c r="F65">
        <v>43</v>
      </c>
      <c r="G65">
        <v>8.25</v>
      </c>
      <c r="H65">
        <v>6.49</v>
      </c>
      <c r="I65" t="str">
        <f>IF(Customer_analytics[[#This Row],[TimeOnSite]]&lt;3, "Short Visit", IF(Customer_analytics[[#This Row],[TimeOnSite]]&lt;7, "Medium Visit", "Long Visit"))</f>
        <v>Medium Visit</v>
      </c>
      <c r="J65">
        <v>69</v>
      </c>
      <c r="K65">
        <v>15</v>
      </c>
      <c r="L65">
        <v>0</v>
      </c>
      <c r="M65">
        <v>1</v>
      </c>
      <c r="N65">
        <v>3419</v>
      </c>
      <c r="O65">
        <v>1</v>
      </c>
    </row>
    <row r="66" spans="1:15" x14ac:dyDescent="0.35">
      <c r="A66">
        <v>8211</v>
      </c>
      <c r="B66">
        <v>49</v>
      </c>
      <c r="C66" t="s">
        <v>21</v>
      </c>
      <c r="D66">
        <v>23870</v>
      </c>
      <c r="E66" t="str">
        <f>IF(Customer_analytics[[#This Row],[Income]]&lt;50000, "Low", IF(Customer_analytics[[#This Row],[Income]]&lt;100000, "Mid", "High"))</f>
        <v>Low</v>
      </c>
      <c r="F66">
        <v>29</v>
      </c>
      <c r="G66">
        <v>5.26</v>
      </c>
      <c r="H66">
        <v>14.38</v>
      </c>
      <c r="I66" t="str">
        <f>IF(Customer_analytics[[#This Row],[TimeOnSite]]&lt;3, "Short Visit", IF(Customer_analytics[[#This Row],[TimeOnSite]]&lt;7, "Medium Visit", "Long Visit"))</f>
        <v>Long Visit</v>
      </c>
      <c r="J66">
        <v>76</v>
      </c>
      <c r="K66">
        <v>8</v>
      </c>
      <c r="L66">
        <v>4</v>
      </c>
      <c r="M66">
        <v>6</v>
      </c>
      <c r="N66">
        <v>3153</v>
      </c>
      <c r="O66">
        <v>1</v>
      </c>
    </row>
    <row r="67" spans="1:15" x14ac:dyDescent="0.35">
      <c r="A67">
        <v>8213</v>
      </c>
      <c r="B67">
        <v>41</v>
      </c>
      <c r="C67" t="s">
        <v>21</v>
      </c>
      <c r="D67">
        <v>75329</v>
      </c>
      <c r="E67" t="str">
        <f>IF(Customer_analytics[[#This Row],[Income]]&lt;50000, "Low", IF(Customer_analytics[[#This Row],[Income]]&lt;100000, "Mid", "High"))</f>
        <v>Mid</v>
      </c>
      <c r="F67">
        <v>19</v>
      </c>
      <c r="G67">
        <v>5.48</v>
      </c>
      <c r="H67">
        <v>12.69</v>
      </c>
      <c r="I67" t="str">
        <f>IF(Customer_analytics[[#This Row],[TimeOnSite]]&lt;3, "Short Visit", IF(Customer_analytics[[#This Row],[TimeOnSite]]&lt;7, "Medium Visit", "Long Visit"))</f>
        <v>Long Visit</v>
      </c>
      <c r="J67">
        <v>24</v>
      </c>
      <c r="K67">
        <v>11</v>
      </c>
      <c r="L67">
        <v>7</v>
      </c>
      <c r="M67">
        <v>0</v>
      </c>
      <c r="N67">
        <v>1720</v>
      </c>
      <c r="O67">
        <v>1</v>
      </c>
    </row>
    <row r="68" spans="1:15" x14ac:dyDescent="0.35">
      <c r="A68">
        <v>8215</v>
      </c>
      <c r="B68">
        <v>69</v>
      </c>
      <c r="C68" t="s">
        <v>21</v>
      </c>
      <c r="D68">
        <v>135049</v>
      </c>
      <c r="E68" t="str">
        <f>IF(Customer_analytics[[#This Row],[Income]]&lt;50000, "Low", IF(Customer_analytics[[#This Row],[Income]]&lt;100000, "Mid", "High"))</f>
        <v>High</v>
      </c>
      <c r="F68">
        <v>42</v>
      </c>
      <c r="G68">
        <v>9.2899999999999991</v>
      </c>
      <c r="H68">
        <v>12.92</v>
      </c>
      <c r="I68" t="str">
        <f>IF(Customer_analytics[[#This Row],[TimeOnSite]]&lt;3, "Short Visit", IF(Customer_analytics[[#This Row],[TimeOnSite]]&lt;7, "Medium Visit", "Long Visit"))</f>
        <v>Long Visit</v>
      </c>
      <c r="J68">
        <v>72</v>
      </c>
      <c r="K68">
        <v>3</v>
      </c>
      <c r="L68">
        <v>7</v>
      </c>
      <c r="M68">
        <v>9</v>
      </c>
      <c r="N68">
        <v>2689</v>
      </c>
      <c r="O68">
        <v>1</v>
      </c>
    </row>
    <row r="69" spans="1:15" x14ac:dyDescent="0.35">
      <c r="A69">
        <v>8221</v>
      </c>
      <c r="B69">
        <v>19</v>
      </c>
      <c r="C69" t="s">
        <v>27</v>
      </c>
      <c r="D69">
        <v>33003</v>
      </c>
      <c r="E69" t="str">
        <f>IF(Customer_analytics[[#This Row],[Income]]&lt;50000, "Low", IF(Customer_analytics[[#This Row],[Income]]&lt;100000, "Mid", "High"))</f>
        <v>Low</v>
      </c>
      <c r="F69">
        <v>1</v>
      </c>
      <c r="G69">
        <v>9.91</v>
      </c>
      <c r="H69">
        <v>12.03</v>
      </c>
      <c r="I69" t="str">
        <f>IF(Customer_analytics[[#This Row],[TimeOnSite]]&lt;3, "Short Visit", IF(Customer_analytics[[#This Row],[TimeOnSite]]&lt;7, "Medium Visit", "Long Visit"))</f>
        <v>Long Visit</v>
      </c>
      <c r="J69">
        <v>89</v>
      </c>
      <c r="K69">
        <v>7</v>
      </c>
      <c r="L69">
        <v>2</v>
      </c>
      <c r="M69">
        <v>4</v>
      </c>
      <c r="N69">
        <v>3873</v>
      </c>
      <c r="O69">
        <v>1</v>
      </c>
    </row>
    <row r="70" spans="1:15" x14ac:dyDescent="0.35">
      <c r="A70">
        <v>8222</v>
      </c>
      <c r="B70">
        <v>20</v>
      </c>
      <c r="C70" t="s">
        <v>21</v>
      </c>
      <c r="D70">
        <v>128793</v>
      </c>
      <c r="E70" t="str">
        <f>IF(Customer_analytics[[#This Row],[Income]]&lt;50000, "Low", IF(Customer_analytics[[#This Row],[Income]]&lt;100000, "Mid", "High"))</f>
        <v>High</v>
      </c>
      <c r="F70">
        <v>21</v>
      </c>
      <c r="G70">
        <v>6.05</v>
      </c>
      <c r="H70">
        <v>13.17</v>
      </c>
      <c r="I70" t="str">
        <f>IF(Customer_analytics[[#This Row],[TimeOnSite]]&lt;3, "Short Visit", IF(Customer_analytics[[#This Row],[TimeOnSite]]&lt;7, "Medium Visit", "Long Visit"))</f>
        <v>Long Visit</v>
      </c>
      <c r="J70">
        <v>35</v>
      </c>
      <c r="K70">
        <v>4</v>
      </c>
      <c r="L70">
        <v>6</v>
      </c>
      <c r="M70">
        <v>0</v>
      </c>
      <c r="N70">
        <v>2220</v>
      </c>
      <c r="O70">
        <v>1</v>
      </c>
    </row>
    <row r="71" spans="1:15" x14ac:dyDescent="0.35">
      <c r="A71">
        <v>8223</v>
      </c>
      <c r="B71">
        <v>66</v>
      </c>
      <c r="C71" t="s">
        <v>21</v>
      </c>
      <c r="D71">
        <v>79538</v>
      </c>
      <c r="E71" t="str">
        <f>IF(Customer_analytics[[#This Row],[Income]]&lt;50000, "Low", IF(Customer_analytics[[#This Row],[Income]]&lt;100000, "Mid", "High"))</f>
        <v>Mid</v>
      </c>
      <c r="F71">
        <v>12</v>
      </c>
      <c r="G71">
        <v>3.44</v>
      </c>
      <c r="H71">
        <v>13.04</v>
      </c>
      <c r="I71" t="str">
        <f>IF(Customer_analytics[[#This Row],[TimeOnSite]]&lt;3, "Short Visit", IF(Customer_analytics[[#This Row],[TimeOnSite]]&lt;7, "Medium Visit", "Long Visit"))</f>
        <v>Long Visit</v>
      </c>
      <c r="J71">
        <v>35</v>
      </c>
      <c r="K71">
        <v>7</v>
      </c>
      <c r="L71">
        <v>2</v>
      </c>
      <c r="M71">
        <v>8</v>
      </c>
      <c r="N71">
        <v>534</v>
      </c>
      <c r="O71">
        <v>1</v>
      </c>
    </row>
    <row r="72" spans="1:15" x14ac:dyDescent="0.35">
      <c r="A72">
        <v>8224</v>
      </c>
      <c r="B72">
        <v>54</v>
      </c>
      <c r="C72" t="s">
        <v>21</v>
      </c>
      <c r="D72">
        <v>52089</v>
      </c>
      <c r="E72" t="str">
        <f>IF(Customer_analytics[[#This Row],[Income]]&lt;50000, "Low", IF(Customer_analytics[[#This Row],[Income]]&lt;100000, "Mid", "High"))</f>
        <v>Mid</v>
      </c>
      <c r="F72">
        <v>45</v>
      </c>
      <c r="G72">
        <v>3.86</v>
      </c>
      <c r="H72">
        <v>5.94</v>
      </c>
      <c r="I72" t="str">
        <f>IF(Customer_analytics[[#This Row],[TimeOnSite]]&lt;3, "Short Visit", IF(Customer_analytics[[#This Row],[TimeOnSite]]&lt;7, "Medium Visit", "Long Visit"))</f>
        <v>Medium Visit</v>
      </c>
      <c r="J72">
        <v>74</v>
      </c>
      <c r="K72">
        <v>16</v>
      </c>
      <c r="L72">
        <v>2</v>
      </c>
      <c r="M72">
        <v>1</v>
      </c>
      <c r="N72">
        <v>3945</v>
      </c>
      <c r="O72">
        <v>1</v>
      </c>
    </row>
    <row r="73" spans="1:15" x14ac:dyDescent="0.35">
      <c r="A73">
        <v>8227</v>
      </c>
      <c r="B73">
        <v>66</v>
      </c>
      <c r="C73" t="s">
        <v>27</v>
      </c>
      <c r="D73">
        <v>102318</v>
      </c>
      <c r="E73" t="str">
        <f>IF(Customer_analytics[[#This Row],[Income]]&lt;50000, "Low", IF(Customer_analytics[[#This Row],[Income]]&lt;100000, "Mid", "High"))</f>
        <v>High</v>
      </c>
      <c r="F73">
        <v>0</v>
      </c>
      <c r="G73">
        <v>4.1500000000000004</v>
      </c>
      <c r="H73">
        <v>13.39</v>
      </c>
      <c r="I73" t="str">
        <f>IF(Customer_analytics[[#This Row],[TimeOnSite]]&lt;3, "Short Visit", IF(Customer_analytics[[#This Row],[TimeOnSite]]&lt;7, "Medium Visit", "Long Visit"))</f>
        <v>Long Visit</v>
      </c>
      <c r="J73">
        <v>93</v>
      </c>
      <c r="K73">
        <v>19</v>
      </c>
      <c r="L73">
        <v>0</v>
      </c>
      <c r="M73">
        <v>3</v>
      </c>
      <c r="N73">
        <v>783</v>
      </c>
      <c r="O73">
        <v>1</v>
      </c>
    </row>
    <row r="74" spans="1:15" x14ac:dyDescent="0.35">
      <c r="A74">
        <v>8228</v>
      </c>
      <c r="B74">
        <v>19</v>
      </c>
      <c r="C74" t="s">
        <v>27</v>
      </c>
      <c r="D74">
        <v>50029</v>
      </c>
      <c r="E74" t="str">
        <f>IF(Customer_analytics[[#This Row],[Income]]&lt;50000, "Low", IF(Customer_analytics[[#This Row],[Income]]&lt;100000, "Mid", "High"))</f>
        <v>Mid</v>
      </c>
      <c r="F74">
        <v>46</v>
      </c>
      <c r="G74">
        <v>1.57</v>
      </c>
      <c r="H74">
        <v>13.39</v>
      </c>
      <c r="I74" t="str">
        <f>IF(Customer_analytics[[#This Row],[TimeOnSite]]&lt;3, "Short Visit", IF(Customer_analytics[[#This Row],[TimeOnSite]]&lt;7, "Medium Visit", "Long Visit"))</f>
        <v>Long Visit</v>
      </c>
      <c r="J74">
        <v>88</v>
      </c>
      <c r="K74">
        <v>10</v>
      </c>
      <c r="L74">
        <v>3</v>
      </c>
      <c r="M74">
        <v>2</v>
      </c>
      <c r="N74">
        <v>3651</v>
      </c>
      <c r="O74">
        <v>1</v>
      </c>
    </row>
    <row r="75" spans="1:15" x14ac:dyDescent="0.35">
      <c r="A75">
        <v>8229</v>
      </c>
      <c r="B75">
        <v>19</v>
      </c>
      <c r="C75" t="s">
        <v>27</v>
      </c>
      <c r="D75">
        <v>99023</v>
      </c>
      <c r="E75" t="str">
        <f>IF(Customer_analytics[[#This Row],[Income]]&lt;50000, "Low", IF(Customer_analytics[[#This Row],[Income]]&lt;100000, "Mid", "High"))</f>
        <v>Mid</v>
      </c>
      <c r="F75">
        <v>42</v>
      </c>
      <c r="G75">
        <v>8.5</v>
      </c>
      <c r="H75">
        <v>1.28</v>
      </c>
      <c r="I75" t="str">
        <f>IF(Customer_analytics[[#This Row],[TimeOnSite]]&lt;3, "Short Visit", IF(Customer_analytics[[#This Row],[TimeOnSite]]&lt;7, "Medium Visit", "Long Visit"))</f>
        <v>Short Visit</v>
      </c>
      <c r="J75">
        <v>15</v>
      </c>
      <c r="K75">
        <v>12</v>
      </c>
      <c r="L75">
        <v>3</v>
      </c>
      <c r="M75">
        <v>0</v>
      </c>
      <c r="N75">
        <v>625</v>
      </c>
      <c r="O75">
        <v>1</v>
      </c>
    </row>
    <row r="76" spans="1:15" x14ac:dyDescent="0.35">
      <c r="A76">
        <v>8232</v>
      </c>
      <c r="B76">
        <v>54</v>
      </c>
      <c r="C76" t="s">
        <v>21</v>
      </c>
      <c r="D76">
        <v>133037</v>
      </c>
      <c r="E76" t="str">
        <f>IF(Customer_analytics[[#This Row],[Income]]&lt;50000, "Low", IF(Customer_analytics[[#This Row],[Income]]&lt;100000, "Mid", "High"))</f>
        <v>High</v>
      </c>
      <c r="F76">
        <v>3</v>
      </c>
      <c r="G76">
        <v>9.2200000000000006</v>
      </c>
      <c r="H76">
        <v>11.67</v>
      </c>
      <c r="I76" t="str">
        <f>IF(Customer_analytics[[#This Row],[TimeOnSite]]&lt;3, "Short Visit", IF(Customer_analytics[[#This Row],[TimeOnSite]]&lt;7, "Medium Visit", "Long Visit"))</f>
        <v>Long Visit</v>
      </c>
      <c r="J76">
        <v>46</v>
      </c>
      <c r="K76">
        <v>2</v>
      </c>
      <c r="L76">
        <v>4</v>
      </c>
      <c r="M76">
        <v>6</v>
      </c>
      <c r="N76">
        <v>3182</v>
      </c>
      <c r="O76">
        <v>1</v>
      </c>
    </row>
    <row r="77" spans="1:15" x14ac:dyDescent="0.35">
      <c r="A77">
        <v>8244</v>
      </c>
      <c r="B77">
        <v>28</v>
      </c>
      <c r="C77" t="s">
        <v>21</v>
      </c>
      <c r="D77">
        <v>49715</v>
      </c>
      <c r="E77" t="str">
        <f>IF(Customer_analytics[[#This Row],[Income]]&lt;50000, "Low", IF(Customer_analytics[[#This Row],[Income]]&lt;100000, "Mid", "High"))</f>
        <v>Low</v>
      </c>
      <c r="F77">
        <v>12</v>
      </c>
      <c r="G77">
        <v>7.89</v>
      </c>
      <c r="H77">
        <v>14.86</v>
      </c>
      <c r="I77" t="str">
        <f>IF(Customer_analytics[[#This Row],[TimeOnSite]]&lt;3, "Short Visit", IF(Customer_analytics[[#This Row],[TimeOnSite]]&lt;7, "Medium Visit", "Long Visit"))</f>
        <v>Long Visit</v>
      </c>
      <c r="J77">
        <v>76</v>
      </c>
      <c r="K77">
        <v>8</v>
      </c>
      <c r="L77">
        <v>8</v>
      </c>
      <c r="M77">
        <v>4</v>
      </c>
      <c r="N77">
        <v>3953</v>
      </c>
      <c r="O77">
        <v>1</v>
      </c>
    </row>
    <row r="78" spans="1:15" x14ac:dyDescent="0.35">
      <c r="A78">
        <v>8246</v>
      </c>
      <c r="B78">
        <v>55</v>
      </c>
      <c r="C78" t="s">
        <v>27</v>
      </c>
      <c r="D78">
        <v>76922</v>
      </c>
      <c r="E78" t="str">
        <f>IF(Customer_analytics[[#This Row],[Income]]&lt;50000, "Low", IF(Customer_analytics[[#This Row],[Income]]&lt;100000, "Mid", "High"))</f>
        <v>Mid</v>
      </c>
      <c r="F78">
        <v>49</v>
      </c>
      <c r="G78">
        <v>5.8</v>
      </c>
      <c r="H78">
        <v>1.39</v>
      </c>
      <c r="I78" t="str">
        <f>IF(Customer_analytics[[#This Row],[TimeOnSite]]&lt;3, "Short Visit", IF(Customer_analytics[[#This Row],[TimeOnSite]]&lt;7, "Medium Visit", "Long Visit"))</f>
        <v>Short Visit</v>
      </c>
      <c r="J78">
        <v>80</v>
      </c>
      <c r="K78">
        <v>18</v>
      </c>
      <c r="L78">
        <v>8</v>
      </c>
      <c r="M78">
        <v>8</v>
      </c>
      <c r="N78">
        <v>865</v>
      </c>
      <c r="O78">
        <v>1</v>
      </c>
    </row>
    <row r="79" spans="1:15" x14ac:dyDescent="0.35">
      <c r="A79">
        <v>8251</v>
      </c>
      <c r="B79">
        <v>23</v>
      </c>
      <c r="C79" t="s">
        <v>27</v>
      </c>
      <c r="D79">
        <v>20823</v>
      </c>
      <c r="E79" t="str">
        <f>IF(Customer_analytics[[#This Row],[Income]]&lt;50000, "Low", IF(Customer_analytics[[#This Row],[Income]]&lt;100000, "Mid", "High"))</f>
        <v>Low</v>
      </c>
      <c r="F79">
        <v>12</v>
      </c>
      <c r="G79">
        <v>6.5</v>
      </c>
      <c r="H79">
        <v>0.74</v>
      </c>
      <c r="I79" t="str">
        <f>IF(Customer_analytics[[#This Row],[TimeOnSite]]&lt;3, "Short Visit", IF(Customer_analytics[[#This Row],[TimeOnSite]]&lt;7, "Medium Visit", "Long Visit"))</f>
        <v>Short Visit</v>
      </c>
      <c r="J79">
        <v>68</v>
      </c>
      <c r="K79">
        <v>15</v>
      </c>
      <c r="L79">
        <v>0</v>
      </c>
      <c r="M79">
        <v>9</v>
      </c>
      <c r="N79">
        <v>1817</v>
      </c>
      <c r="O79">
        <v>1</v>
      </c>
    </row>
    <row r="80" spans="1:15" x14ac:dyDescent="0.35">
      <c r="A80">
        <v>8254</v>
      </c>
      <c r="B80">
        <v>65</v>
      </c>
      <c r="C80" t="s">
        <v>27</v>
      </c>
      <c r="D80">
        <v>27084</v>
      </c>
      <c r="E80" t="str">
        <f>IF(Customer_analytics[[#This Row],[Income]]&lt;50000, "Low", IF(Customer_analytics[[#This Row],[Income]]&lt;100000, "Mid", "High"))</f>
        <v>Low</v>
      </c>
      <c r="F80">
        <v>9</v>
      </c>
      <c r="G80">
        <v>8.2799999999999994</v>
      </c>
      <c r="H80">
        <v>12.32</v>
      </c>
      <c r="I80" t="str">
        <f>IF(Customer_analytics[[#This Row],[TimeOnSite]]&lt;3, "Short Visit", IF(Customer_analytics[[#This Row],[TimeOnSite]]&lt;7, "Medium Visit", "Long Visit"))</f>
        <v>Long Visit</v>
      </c>
      <c r="J80">
        <v>96</v>
      </c>
      <c r="K80">
        <v>17</v>
      </c>
      <c r="L80">
        <v>4</v>
      </c>
      <c r="M80">
        <v>7</v>
      </c>
      <c r="N80">
        <v>3689</v>
      </c>
      <c r="O80">
        <v>1</v>
      </c>
    </row>
    <row r="81" spans="1:15" x14ac:dyDescent="0.35">
      <c r="A81">
        <v>8255</v>
      </c>
      <c r="B81">
        <v>33</v>
      </c>
      <c r="C81" t="s">
        <v>21</v>
      </c>
      <c r="D81">
        <v>97991</v>
      </c>
      <c r="E81" t="str">
        <f>IF(Customer_analytics[[#This Row],[Income]]&lt;50000, "Low", IF(Customer_analytics[[#This Row],[Income]]&lt;100000, "Mid", "High"))</f>
        <v>Mid</v>
      </c>
      <c r="F81">
        <v>46</v>
      </c>
      <c r="G81">
        <v>5.77</v>
      </c>
      <c r="H81">
        <v>12.28</v>
      </c>
      <c r="I81" t="str">
        <f>IF(Customer_analytics[[#This Row],[TimeOnSite]]&lt;3, "Short Visit", IF(Customer_analytics[[#This Row],[TimeOnSite]]&lt;7, "Medium Visit", "Long Visit"))</f>
        <v>Long Visit</v>
      </c>
      <c r="J81">
        <v>33</v>
      </c>
      <c r="K81">
        <v>18</v>
      </c>
      <c r="L81">
        <v>3</v>
      </c>
      <c r="M81">
        <v>0</v>
      </c>
      <c r="N81">
        <v>2632</v>
      </c>
      <c r="O81">
        <v>1</v>
      </c>
    </row>
    <row r="82" spans="1:15" x14ac:dyDescent="0.35">
      <c r="A82">
        <v>8256</v>
      </c>
      <c r="B82">
        <v>50</v>
      </c>
      <c r="C82" t="s">
        <v>21</v>
      </c>
      <c r="D82">
        <v>30607</v>
      </c>
      <c r="E82" t="str">
        <f>IF(Customer_analytics[[#This Row],[Income]]&lt;50000, "Low", IF(Customer_analytics[[#This Row],[Income]]&lt;100000, "Mid", "High"))</f>
        <v>Low</v>
      </c>
      <c r="F82">
        <v>11</v>
      </c>
      <c r="G82">
        <v>2.2799999999999998</v>
      </c>
      <c r="H82">
        <v>12.6</v>
      </c>
      <c r="I82" t="str">
        <f>IF(Customer_analytics[[#This Row],[TimeOnSite]]&lt;3, "Short Visit", IF(Customer_analytics[[#This Row],[TimeOnSite]]&lt;7, "Medium Visit", "Long Visit"))</f>
        <v>Long Visit</v>
      </c>
      <c r="J82">
        <v>26</v>
      </c>
      <c r="K82">
        <v>15</v>
      </c>
      <c r="L82">
        <v>8</v>
      </c>
      <c r="M82">
        <v>7</v>
      </c>
      <c r="N82">
        <v>474</v>
      </c>
      <c r="O82">
        <v>1</v>
      </c>
    </row>
    <row r="83" spans="1:15" x14ac:dyDescent="0.35">
      <c r="A83">
        <v>8260</v>
      </c>
      <c r="B83">
        <v>46</v>
      </c>
      <c r="C83" t="s">
        <v>27</v>
      </c>
      <c r="D83">
        <v>134540</v>
      </c>
      <c r="E83" t="str">
        <f>IF(Customer_analytics[[#This Row],[Income]]&lt;50000, "Low", IF(Customer_analytics[[#This Row],[Income]]&lt;100000, "Mid", "High"))</f>
        <v>High</v>
      </c>
      <c r="F83">
        <v>18</v>
      </c>
      <c r="G83">
        <v>5.9</v>
      </c>
      <c r="H83">
        <v>12.8</v>
      </c>
      <c r="I83" t="str">
        <f>IF(Customer_analytics[[#This Row],[TimeOnSite]]&lt;3, "Short Visit", IF(Customer_analytics[[#This Row],[TimeOnSite]]&lt;7, "Medium Visit", "Long Visit"))</f>
        <v>Long Visit</v>
      </c>
      <c r="J83">
        <v>34</v>
      </c>
      <c r="K83">
        <v>18</v>
      </c>
      <c r="L83">
        <v>6</v>
      </c>
      <c r="M83">
        <v>9</v>
      </c>
      <c r="N83">
        <v>3545</v>
      </c>
      <c r="O83">
        <v>1</v>
      </c>
    </row>
    <row r="84" spans="1:15" x14ac:dyDescent="0.35">
      <c r="A84">
        <v>8261</v>
      </c>
      <c r="B84">
        <v>20</v>
      </c>
      <c r="C84" t="s">
        <v>21</v>
      </c>
      <c r="D84">
        <v>96355</v>
      </c>
      <c r="E84" t="str">
        <f>IF(Customer_analytics[[#This Row],[Income]]&lt;50000, "Low", IF(Customer_analytics[[#This Row],[Income]]&lt;100000, "Mid", "High"))</f>
        <v>Mid</v>
      </c>
      <c r="F84">
        <v>18</v>
      </c>
      <c r="G84">
        <v>4.9400000000000004</v>
      </c>
      <c r="H84">
        <v>9.4600000000000009</v>
      </c>
      <c r="I84" t="str">
        <f>IF(Customer_analytics[[#This Row],[TimeOnSite]]&lt;3, "Short Visit", IF(Customer_analytics[[#This Row],[TimeOnSite]]&lt;7, "Medium Visit", "Long Visit"))</f>
        <v>Long Visit</v>
      </c>
      <c r="J84">
        <v>19</v>
      </c>
      <c r="K84">
        <v>18</v>
      </c>
      <c r="L84">
        <v>1</v>
      </c>
      <c r="M84">
        <v>6</v>
      </c>
      <c r="N84">
        <v>3300</v>
      </c>
      <c r="O84">
        <v>1</v>
      </c>
    </row>
    <row r="85" spans="1:15" x14ac:dyDescent="0.35">
      <c r="A85">
        <v>8267</v>
      </c>
      <c r="B85">
        <v>36</v>
      </c>
      <c r="C85" t="s">
        <v>27</v>
      </c>
      <c r="D85">
        <v>147182</v>
      </c>
      <c r="E85" t="str">
        <f>IF(Customer_analytics[[#This Row],[Income]]&lt;50000, "Low", IF(Customer_analytics[[#This Row],[Income]]&lt;100000, "Mid", "High"))</f>
        <v>High</v>
      </c>
      <c r="F85">
        <v>35</v>
      </c>
      <c r="G85">
        <v>6.3</v>
      </c>
      <c r="H85">
        <v>6.32</v>
      </c>
      <c r="I85" t="str">
        <f>IF(Customer_analytics[[#This Row],[TimeOnSite]]&lt;3, "Short Visit", IF(Customer_analytics[[#This Row],[TimeOnSite]]&lt;7, "Medium Visit", "Long Visit"))</f>
        <v>Medium Visit</v>
      </c>
      <c r="J85">
        <v>50</v>
      </c>
      <c r="K85">
        <v>12</v>
      </c>
      <c r="L85">
        <v>4</v>
      </c>
      <c r="M85">
        <v>1</v>
      </c>
      <c r="N85">
        <v>1447</v>
      </c>
      <c r="O85">
        <v>1</v>
      </c>
    </row>
    <row r="86" spans="1:15" x14ac:dyDescent="0.35">
      <c r="A86">
        <v>8271</v>
      </c>
      <c r="B86">
        <v>69</v>
      </c>
      <c r="C86" t="s">
        <v>27</v>
      </c>
      <c r="D86">
        <v>31945</v>
      </c>
      <c r="E86" t="str">
        <f>IF(Customer_analytics[[#This Row],[Income]]&lt;50000, "Low", IF(Customer_analytics[[#This Row],[Income]]&lt;100000, "Mid", "High"))</f>
        <v>Low</v>
      </c>
      <c r="F86">
        <v>22</v>
      </c>
      <c r="G86">
        <v>5.95</v>
      </c>
      <c r="H86">
        <v>14.64</v>
      </c>
      <c r="I86" t="str">
        <f>IF(Customer_analytics[[#This Row],[TimeOnSite]]&lt;3, "Short Visit", IF(Customer_analytics[[#This Row],[TimeOnSite]]&lt;7, "Medium Visit", "Long Visit"))</f>
        <v>Long Visit</v>
      </c>
      <c r="J86">
        <v>44</v>
      </c>
      <c r="K86">
        <v>9</v>
      </c>
      <c r="L86">
        <v>9</v>
      </c>
      <c r="M86">
        <v>3</v>
      </c>
      <c r="N86">
        <v>2693</v>
      </c>
      <c r="O86">
        <v>1</v>
      </c>
    </row>
    <row r="87" spans="1:15" x14ac:dyDescent="0.35">
      <c r="A87">
        <v>8284</v>
      </c>
      <c r="B87">
        <v>48</v>
      </c>
      <c r="C87" t="s">
        <v>21</v>
      </c>
      <c r="D87">
        <v>24601</v>
      </c>
      <c r="E87" t="str">
        <f>IF(Customer_analytics[[#This Row],[Income]]&lt;50000, "Low", IF(Customer_analytics[[#This Row],[Income]]&lt;100000, "Mid", "High"))</f>
        <v>Low</v>
      </c>
      <c r="F87">
        <v>6</v>
      </c>
      <c r="G87">
        <v>4.93</v>
      </c>
      <c r="H87">
        <v>13.38</v>
      </c>
      <c r="I87" t="str">
        <f>IF(Customer_analytics[[#This Row],[TimeOnSite]]&lt;3, "Short Visit", IF(Customer_analytics[[#This Row],[TimeOnSite]]&lt;7, "Medium Visit", "Long Visit"))</f>
        <v>Long Visit</v>
      </c>
      <c r="J87">
        <v>11</v>
      </c>
      <c r="K87">
        <v>4</v>
      </c>
      <c r="L87">
        <v>9</v>
      </c>
      <c r="M87">
        <v>0</v>
      </c>
      <c r="N87">
        <v>184</v>
      </c>
      <c r="O87">
        <v>1</v>
      </c>
    </row>
    <row r="88" spans="1:15" x14ac:dyDescent="0.35">
      <c r="A88">
        <v>8290</v>
      </c>
      <c r="B88">
        <v>43</v>
      </c>
      <c r="C88" t="s">
        <v>21</v>
      </c>
      <c r="D88">
        <v>71337</v>
      </c>
      <c r="E88" t="str">
        <f>IF(Customer_analytics[[#This Row],[Income]]&lt;50000, "Low", IF(Customer_analytics[[#This Row],[Income]]&lt;100000, "Mid", "High"))</f>
        <v>Mid</v>
      </c>
      <c r="F88">
        <v>31</v>
      </c>
      <c r="G88">
        <v>2.39</v>
      </c>
      <c r="H88">
        <v>13.92</v>
      </c>
      <c r="I88" t="str">
        <f>IF(Customer_analytics[[#This Row],[TimeOnSite]]&lt;3, "Short Visit", IF(Customer_analytics[[#This Row],[TimeOnSite]]&lt;7, "Medium Visit", "Long Visit"))</f>
        <v>Long Visit</v>
      </c>
      <c r="J88">
        <v>10</v>
      </c>
      <c r="K88">
        <v>11</v>
      </c>
      <c r="L88">
        <v>9</v>
      </c>
      <c r="M88">
        <v>1</v>
      </c>
      <c r="N88">
        <v>4697</v>
      </c>
      <c r="O88">
        <v>1</v>
      </c>
    </row>
    <row r="89" spans="1:15" x14ac:dyDescent="0.35">
      <c r="A89">
        <v>8291</v>
      </c>
      <c r="B89">
        <v>65</v>
      </c>
      <c r="C89" t="s">
        <v>27</v>
      </c>
      <c r="D89">
        <v>60204</v>
      </c>
      <c r="E89" t="str">
        <f>IF(Customer_analytics[[#This Row],[Income]]&lt;50000, "Low", IF(Customer_analytics[[#This Row],[Income]]&lt;100000, "Mid", "High"))</f>
        <v>Mid</v>
      </c>
      <c r="F89">
        <v>14</v>
      </c>
      <c r="G89">
        <v>9.2899999999999991</v>
      </c>
      <c r="H89">
        <v>1.03</v>
      </c>
      <c r="I89" t="str">
        <f>IF(Customer_analytics[[#This Row],[TimeOnSite]]&lt;3, "Short Visit", IF(Customer_analytics[[#This Row],[TimeOnSite]]&lt;7, "Medium Visit", "Long Visit"))</f>
        <v>Short Visit</v>
      </c>
      <c r="J89">
        <v>37</v>
      </c>
      <c r="K89">
        <v>14</v>
      </c>
      <c r="L89">
        <v>4</v>
      </c>
      <c r="M89">
        <v>6</v>
      </c>
      <c r="N89">
        <v>3949</v>
      </c>
      <c r="O89">
        <v>1</v>
      </c>
    </row>
    <row r="90" spans="1:15" x14ac:dyDescent="0.35">
      <c r="A90">
        <v>8298</v>
      </c>
      <c r="B90">
        <v>22</v>
      </c>
      <c r="C90" t="s">
        <v>21</v>
      </c>
      <c r="D90">
        <v>60854</v>
      </c>
      <c r="E90" t="str">
        <f>IF(Customer_analytics[[#This Row],[Income]]&lt;50000, "Low", IF(Customer_analytics[[#This Row],[Income]]&lt;100000, "Mid", "High"))</f>
        <v>Mid</v>
      </c>
      <c r="F90">
        <v>3</v>
      </c>
      <c r="G90">
        <v>8.2200000000000006</v>
      </c>
      <c r="H90">
        <v>1.0900000000000001</v>
      </c>
      <c r="I90" t="str">
        <f>IF(Customer_analytics[[#This Row],[TimeOnSite]]&lt;3, "Short Visit", IF(Customer_analytics[[#This Row],[TimeOnSite]]&lt;7, "Medium Visit", "Long Visit"))</f>
        <v>Short Visit</v>
      </c>
      <c r="J90">
        <v>79</v>
      </c>
      <c r="K90">
        <v>13</v>
      </c>
      <c r="L90">
        <v>4</v>
      </c>
      <c r="M90">
        <v>6</v>
      </c>
      <c r="N90">
        <v>2142</v>
      </c>
      <c r="O90">
        <v>1</v>
      </c>
    </row>
    <row r="91" spans="1:15" x14ac:dyDescent="0.35">
      <c r="A91">
        <v>8302</v>
      </c>
      <c r="B91">
        <v>58</v>
      </c>
      <c r="C91" t="s">
        <v>21</v>
      </c>
      <c r="D91">
        <v>51558</v>
      </c>
      <c r="E91" t="str">
        <f>IF(Customer_analytics[[#This Row],[Income]]&lt;50000, "Low", IF(Customer_analytics[[#This Row],[Income]]&lt;100000, "Mid", "High"))</f>
        <v>Mid</v>
      </c>
      <c r="F91">
        <v>37</v>
      </c>
      <c r="G91">
        <v>5.94</v>
      </c>
      <c r="H91">
        <v>5.37</v>
      </c>
      <c r="I91" t="str">
        <f>IF(Customer_analytics[[#This Row],[TimeOnSite]]&lt;3, "Short Visit", IF(Customer_analytics[[#This Row],[TimeOnSite]]&lt;7, "Medium Visit", "Long Visit"))</f>
        <v>Medium Visit</v>
      </c>
      <c r="J91">
        <v>43</v>
      </c>
      <c r="K91">
        <v>17</v>
      </c>
      <c r="L91">
        <v>2</v>
      </c>
      <c r="M91">
        <v>5</v>
      </c>
      <c r="N91">
        <v>4118</v>
      </c>
      <c r="O91">
        <v>1</v>
      </c>
    </row>
    <row r="92" spans="1:15" x14ac:dyDescent="0.35">
      <c r="A92">
        <v>8304</v>
      </c>
      <c r="B92">
        <v>36</v>
      </c>
      <c r="C92" t="s">
        <v>21</v>
      </c>
      <c r="D92">
        <v>81794</v>
      </c>
      <c r="E92" t="str">
        <f>IF(Customer_analytics[[#This Row],[Income]]&lt;50000, "Low", IF(Customer_analytics[[#This Row],[Income]]&lt;100000, "Mid", "High"))</f>
        <v>Mid</v>
      </c>
      <c r="F92">
        <v>46</v>
      </c>
      <c r="G92">
        <v>6.9</v>
      </c>
      <c r="H92">
        <v>13.96</v>
      </c>
      <c r="I92" t="str">
        <f>IF(Customer_analytics[[#This Row],[TimeOnSite]]&lt;3, "Short Visit", IF(Customer_analytics[[#This Row],[TimeOnSite]]&lt;7, "Medium Visit", "Long Visit"))</f>
        <v>Long Visit</v>
      </c>
      <c r="J92">
        <v>75</v>
      </c>
      <c r="K92">
        <v>8</v>
      </c>
      <c r="L92">
        <v>5</v>
      </c>
      <c r="M92">
        <v>3</v>
      </c>
      <c r="N92">
        <v>859</v>
      </c>
      <c r="O92">
        <v>1</v>
      </c>
    </row>
    <row r="93" spans="1:15" x14ac:dyDescent="0.35">
      <c r="A93">
        <v>8310</v>
      </c>
      <c r="B93">
        <v>50</v>
      </c>
      <c r="C93" t="s">
        <v>27</v>
      </c>
      <c r="D93">
        <v>79261</v>
      </c>
      <c r="E93" t="str">
        <f>IF(Customer_analytics[[#This Row],[Income]]&lt;50000, "Low", IF(Customer_analytics[[#This Row],[Income]]&lt;100000, "Mid", "High"))</f>
        <v>Mid</v>
      </c>
      <c r="F93">
        <v>27</v>
      </c>
      <c r="G93">
        <v>2.2599999999999998</v>
      </c>
      <c r="H93">
        <v>13.76</v>
      </c>
      <c r="I93" t="str">
        <f>IF(Customer_analytics[[#This Row],[TimeOnSite]]&lt;3, "Short Visit", IF(Customer_analytics[[#This Row],[TimeOnSite]]&lt;7, "Medium Visit", "Long Visit"))</f>
        <v>Long Visit</v>
      </c>
      <c r="J93">
        <v>76</v>
      </c>
      <c r="K93">
        <v>12</v>
      </c>
      <c r="L93">
        <v>1</v>
      </c>
      <c r="M93">
        <v>7</v>
      </c>
      <c r="N93">
        <v>2602</v>
      </c>
      <c r="O93">
        <v>1</v>
      </c>
    </row>
    <row r="94" spans="1:15" x14ac:dyDescent="0.35">
      <c r="A94">
        <v>8313</v>
      </c>
      <c r="B94">
        <v>28</v>
      </c>
      <c r="C94" t="s">
        <v>27</v>
      </c>
      <c r="D94">
        <v>38065</v>
      </c>
      <c r="E94" t="str">
        <f>IF(Customer_analytics[[#This Row],[Income]]&lt;50000, "Low", IF(Customer_analytics[[#This Row],[Income]]&lt;100000, "Mid", "High"))</f>
        <v>Low</v>
      </c>
      <c r="F94">
        <v>46</v>
      </c>
      <c r="G94">
        <v>2.13</v>
      </c>
      <c r="H94">
        <v>7.41</v>
      </c>
      <c r="I94" t="str">
        <f>IF(Customer_analytics[[#This Row],[TimeOnSite]]&lt;3, "Short Visit", IF(Customer_analytics[[#This Row],[TimeOnSite]]&lt;7, "Medium Visit", "Long Visit"))</f>
        <v>Long Visit</v>
      </c>
      <c r="J94">
        <v>10</v>
      </c>
      <c r="K94">
        <v>1</v>
      </c>
      <c r="L94">
        <v>9</v>
      </c>
      <c r="M94">
        <v>6</v>
      </c>
      <c r="N94">
        <v>1269</v>
      </c>
      <c r="O94">
        <v>1</v>
      </c>
    </row>
    <row r="95" spans="1:15" x14ac:dyDescent="0.35">
      <c r="A95">
        <v>8316</v>
      </c>
      <c r="B95">
        <v>53</v>
      </c>
      <c r="C95" t="s">
        <v>27</v>
      </c>
      <c r="D95">
        <v>107191</v>
      </c>
      <c r="E95" t="str">
        <f>IF(Customer_analytics[[#This Row],[Income]]&lt;50000, "Low", IF(Customer_analytics[[#This Row],[Income]]&lt;100000, "Mid", "High"))</f>
        <v>High</v>
      </c>
      <c r="F95">
        <v>18</v>
      </c>
      <c r="G95">
        <v>3.02</v>
      </c>
      <c r="H95">
        <v>0.78</v>
      </c>
      <c r="I95" t="str">
        <f>IF(Customer_analytics[[#This Row],[TimeOnSite]]&lt;3, "Short Visit", IF(Customer_analytics[[#This Row],[TimeOnSite]]&lt;7, "Medium Visit", "Long Visit"))</f>
        <v>Short Visit</v>
      </c>
      <c r="J95">
        <v>98</v>
      </c>
      <c r="K95">
        <v>6</v>
      </c>
      <c r="L95">
        <v>2</v>
      </c>
      <c r="M95">
        <v>2</v>
      </c>
      <c r="N95">
        <v>507</v>
      </c>
      <c r="O95">
        <v>0</v>
      </c>
    </row>
    <row r="96" spans="1:15" x14ac:dyDescent="0.35">
      <c r="A96">
        <v>8317</v>
      </c>
      <c r="B96">
        <v>55</v>
      </c>
      <c r="C96" t="s">
        <v>21</v>
      </c>
      <c r="D96">
        <v>30006</v>
      </c>
      <c r="E96" t="str">
        <f>IF(Customer_analytics[[#This Row],[Income]]&lt;50000, "Low", IF(Customer_analytics[[#This Row],[Income]]&lt;100000, "Mid", "High"))</f>
        <v>Low</v>
      </c>
      <c r="F96">
        <v>43</v>
      </c>
      <c r="G96">
        <v>9.49</v>
      </c>
      <c r="H96">
        <v>12.58</v>
      </c>
      <c r="I96" t="str">
        <f>IF(Customer_analytics[[#This Row],[TimeOnSite]]&lt;3, "Short Visit", IF(Customer_analytics[[#This Row],[TimeOnSite]]&lt;7, "Medium Visit", "Long Visit"))</f>
        <v>Long Visit</v>
      </c>
      <c r="J96">
        <v>38</v>
      </c>
      <c r="K96">
        <v>8</v>
      </c>
      <c r="L96">
        <v>4</v>
      </c>
      <c r="M96">
        <v>6</v>
      </c>
      <c r="N96">
        <v>2907</v>
      </c>
      <c r="O96">
        <v>1</v>
      </c>
    </row>
    <row r="97" spans="1:15" x14ac:dyDescent="0.35">
      <c r="A97">
        <v>8318</v>
      </c>
      <c r="B97">
        <v>57</v>
      </c>
      <c r="C97" t="s">
        <v>21</v>
      </c>
      <c r="D97">
        <v>91819</v>
      </c>
      <c r="E97" t="str">
        <f>IF(Customer_analytics[[#This Row],[Income]]&lt;50000, "Low", IF(Customer_analytics[[#This Row],[Income]]&lt;100000, "Mid", "High"))</f>
        <v>Mid</v>
      </c>
      <c r="F97">
        <v>34</v>
      </c>
      <c r="G97">
        <v>3.02</v>
      </c>
      <c r="H97">
        <v>11.32</v>
      </c>
      <c r="I97" t="str">
        <f>IF(Customer_analytics[[#This Row],[TimeOnSite]]&lt;3, "Short Visit", IF(Customer_analytics[[#This Row],[TimeOnSite]]&lt;7, "Medium Visit", "Long Visit"))</f>
        <v>Long Visit</v>
      </c>
      <c r="J97">
        <v>62</v>
      </c>
      <c r="K97">
        <v>6</v>
      </c>
      <c r="L97">
        <v>6</v>
      </c>
      <c r="M97">
        <v>7</v>
      </c>
      <c r="N97">
        <v>1655</v>
      </c>
      <c r="O97">
        <v>1</v>
      </c>
    </row>
    <row r="98" spans="1:15" x14ac:dyDescent="0.35">
      <c r="A98">
        <v>8322</v>
      </c>
      <c r="B98">
        <v>42</v>
      </c>
      <c r="C98" t="s">
        <v>21</v>
      </c>
      <c r="D98">
        <v>116319</v>
      </c>
      <c r="E98" t="str">
        <f>IF(Customer_analytics[[#This Row],[Income]]&lt;50000, "Low", IF(Customer_analytics[[#This Row],[Income]]&lt;100000, "Mid", "High"))</f>
        <v>High</v>
      </c>
      <c r="F98">
        <v>2</v>
      </c>
      <c r="G98">
        <v>8.7200000000000006</v>
      </c>
      <c r="H98">
        <v>2.5099999999999998</v>
      </c>
      <c r="I98" t="str">
        <f>IF(Customer_analytics[[#This Row],[TimeOnSite]]&lt;3, "Short Visit", IF(Customer_analytics[[#This Row],[TimeOnSite]]&lt;7, "Medium Visit", "Long Visit"))</f>
        <v>Short Visit</v>
      </c>
      <c r="J98">
        <v>50</v>
      </c>
      <c r="K98">
        <v>0</v>
      </c>
      <c r="L98">
        <v>8</v>
      </c>
      <c r="M98">
        <v>6</v>
      </c>
      <c r="N98">
        <v>3625</v>
      </c>
      <c r="O98">
        <v>1</v>
      </c>
    </row>
    <row r="99" spans="1:15" x14ac:dyDescent="0.35">
      <c r="A99">
        <v>8323</v>
      </c>
      <c r="B99">
        <v>52</v>
      </c>
      <c r="C99" t="s">
        <v>27</v>
      </c>
      <c r="D99">
        <v>70393</v>
      </c>
      <c r="E99" t="str">
        <f>IF(Customer_analytics[[#This Row],[Income]]&lt;50000, "Low", IF(Customer_analytics[[#This Row],[Income]]&lt;100000, "Mid", "High"))</f>
        <v>Mid</v>
      </c>
      <c r="F99">
        <v>38</v>
      </c>
      <c r="G99">
        <v>9.0500000000000007</v>
      </c>
      <c r="H99">
        <v>14.96</v>
      </c>
      <c r="I99" t="str">
        <f>IF(Customer_analytics[[#This Row],[TimeOnSite]]&lt;3, "Short Visit", IF(Customer_analytics[[#This Row],[TimeOnSite]]&lt;7, "Medium Visit", "Long Visit"))</f>
        <v>Long Visit</v>
      </c>
      <c r="J99">
        <v>52</v>
      </c>
      <c r="K99">
        <v>19</v>
      </c>
      <c r="L99">
        <v>0</v>
      </c>
      <c r="M99">
        <v>5</v>
      </c>
      <c r="N99">
        <v>2268</v>
      </c>
      <c r="O99">
        <v>1</v>
      </c>
    </row>
    <row r="100" spans="1:15" x14ac:dyDescent="0.35">
      <c r="A100">
        <v>8325</v>
      </c>
      <c r="B100">
        <v>46</v>
      </c>
      <c r="C100" t="s">
        <v>27</v>
      </c>
      <c r="D100">
        <v>121341</v>
      </c>
      <c r="E100" t="str">
        <f>IF(Customer_analytics[[#This Row],[Income]]&lt;50000, "Low", IF(Customer_analytics[[#This Row],[Income]]&lt;100000, "Mid", "High"))</f>
        <v>High</v>
      </c>
      <c r="F100">
        <v>16</v>
      </c>
      <c r="G100">
        <v>1.7</v>
      </c>
      <c r="H100">
        <v>1.35</v>
      </c>
      <c r="I100" t="str">
        <f>IF(Customer_analytics[[#This Row],[TimeOnSite]]&lt;3, "Short Visit", IF(Customer_analytics[[#This Row],[TimeOnSite]]&lt;7, "Medium Visit", "Long Visit"))</f>
        <v>Short Visit</v>
      </c>
      <c r="J100">
        <v>64</v>
      </c>
      <c r="K100">
        <v>1</v>
      </c>
      <c r="L100">
        <v>0</v>
      </c>
      <c r="M100">
        <v>5</v>
      </c>
      <c r="N100">
        <v>1301</v>
      </c>
      <c r="O100">
        <v>1</v>
      </c>
    </row>
    <row r="101" spans="1:15" x14ac:dyDescent="0.35">
      <c r="A101">
        <v>8327</v>
      </c>
      <c r="B101">
        <v>63</v>
      </c>
      <c r="C101" t="s">
        <v>21</v>
      </c>
      <c r="D101">
        <v>32417</v>
      </c>
      <c r="E101" t="str">
        <f>IF(Customer_analytics[[#This Row],[Income]]&lt;50000, "Low", IF(Customer_analytics[[#This Row],[Income]]&lt;100000, "Mid", "High"))</f>
        <v>Low</v>
      </c>
      <c r="F101">
        <v>41</v>
      </c>
      <c r="G101">
        <v>6.98</v>
      </c>
      <c r="H101">
        <v>7.22</v>
      </c>
      <c r="I101" t="str">
        <f>IF(Customer_analytics[[#This Row],[TimeOnSite]]&lt;3, "Short Visit", IF(Customer_analytics[[#This Row],[TimeOnSite]]&lt;7, "Medium Visit", "Long Visit"))</f>
        <v>Long Visit</v>
      </c>
      <c r="J101">
        <v>11</v>
      </c>
      <c r="K101">
        <v>9</v>
      </c>
      <c r="L101">
        <v>6</v>
      </c>
      <c r="M101">
        <v>8</v>
      </c>
      <c r="N101">
        <v>1607</v>
      </c>
      <c r="O101">
        <v>1</v>
      </c>
    </row>
    <row r="102" spans="1:15" x14ac:dyDescent="0.35">
      <c r="A102">
        <v>8330</v>
      </c>
      <c r="B102">
        <v>52</v>
      </c>
      <c r="C102" t="s">
        <v>27</v>
      </c>
      <c r="D102">
        <v>48896</v>
      </c>
      <c r="E102" t="str">
        <f>IF(Customer_analytics[[#This Row],[Income]]&lt;50000, "Low", IF(Customer_analytics[[#This Row],[Income]]&lt;100000, "Mid", "High"))</f>
        <v>Low</v>
      </c>
      <c r="F102">
        <v>19</v>
      </c>
      <c r="G102">
        <v>8.1300000000000008</v>
      </c>
      <c r="H102">
        <v>5.77</v>
      </c>
      <c r="I102" t="str">
        <f>IF(Customer_analytics[[#This Row],[TimeOnSite]]&lt;3, "Short Visit", IF(Customer_analytics[[#This Row],[TimeOnSite]]&lt;7, "Medium Visit", "Long Visit"))</f>
        <v>Medium Visit</v>
      </c>
      <c r="J102">
        <v>71</v>
      </c>
      <c r="K102">
        <v>7</v>
      </c>
      <c r="L102">
        <v>7</v>
      </c>
      <c r="M102">
        <v>1</v>
      </c>
      <c r="N102">
        <v>4625</v>
      </c>
      <c r="O102">
        <v>1</v>
      </c>
    </row>
    <row r="103" spans="1:15" x14ac:dyDescent="0.35">
      <c r="A103">
        <v>8332</v>
      </c>
      <c r="B103">
        <v>58</v>
      </c>
      <c r="C103" t="s">
        <v>27</v>
      </c>
      <c r="D103">
        <v>122979</v>
      </c>
      <c r="E103" t="str">
        <f>IF(Customer_analytics[[#This Row],[Income]]&lt;50000, "Low", IF(Customer_analytics[[#This Row],[Income]]&lt;100000, "Mid", "High"))</f>
        <v>High</v>
      </c>
      <c r="F103">
        <v>34</v>
      </c>
      <c r="G103">
        <v>6.59</v>
      </c>
      <c r="H103">
        <v>6.98</v>
      </c>
      <c r="I103" t="str">
        <f>IF(Customer_analytics[[#This Row],[TimeOnSite]]&lt;3, "Short Visit", IF(Customer_analytics[[#This Row],[TimeOnSite]]&lt;7, "Medium Visit", "Long Visit"))</f>
        <v>Medium Visit</v>
      </c>
      <c r="J103">
        <v>94</v>
      </c>
      <c r="K103">
        <v>5</v>
      </c>
      <c r="L103">
        <v>0</v>
      </c>
      <c r="M103">
        <v>8</v>
      </c>
      <c r="N103">
        <v>4552</v>
      </c>
      <c r="O103">
        <v>1</v>
      </c>
    </row>
    <row r="104" spans="1:15" x14ac:dyDescent="0.35">
      <c r="A104">
        <v>8336</v>
      </c>
      <c r="B104">
        <v>50</v>
      </c>
      <c r="C104" t="s">
        <v>21</v>
      </c>
      <c r="D104">
        <v>81330</v>
      </c>
      <c r="E104" t="str">
        <f>IF(Customer_analytics[[#This Row],[Income]]&lt;50000, "Low", IF(Customer_analytics[[#This Row],[Income]]&lt;100000, "Mid", "High"))</f>
        <v>Mid</v>
      </c>
      <c r="F104">
        <v>40</v>
      </c>
      <c r="G104">
        <v>4.9400000000000004</v>
      </c>
      <c r="H104">
        <v>8.5399999999999991</v>
      </c>
      <c r="I104" t="str">
        <f>IF(Customer_analytics[[#This Row],[TimeOnSite]]&lt;3, "Short Visit", IF(Customer_analytics[[#This Row],[TimeOnSite]]&lt;7, "Medium Visit", "Long Visit"))</f>
        <v>Long Visit</v>
      </c>
      <c r="J104">
        <v>84</v>
      </c>
      <c r="K104">
        <v>16</v>
      </c>
      <c r="L104">
        <v>1</v>
      </c>
      <c r="M104">
        <v>0</v>
      </c>
      <c r="N104">
        <v>4558</v>
      </c>
      <c r="O104">
        <v>1</v>
      </c>
    </row>
    <row r="105" spans="1:15" x14ac:dyDescent="0.35">
      <c r="A105">
        <v>8339</v>
      </c>
      <c r="B105">
        <v>65</v>
      </c>
      <c r="C105" t="s">
        <v>21</v>
      </c>
      <c r="D105">
        <v>120972</v>
      </c>
      <c r="E105" t="str">
        <f>IF(Customer_analytics[[#This Row],[Income]]&lt;50000, "Low", IF(Customer_analytics[[#This Row],[Income]]&lt;100000, "Mid", "High"))</f>
        <v>High</v>
      </c>
      <c r="F105">
        <v>19</v>
      </c>
      <c r="G105">
        <v>7.72</v>
      </c>
      <c r="H105">
        <v>8.44</v>
      </c>
      <c r="I105" t="str">
        <f>IF(Customer_analytics[[#This Row],[TimeOnSite]]&lt;3, "Short Visit", IF(Customer_analytics[[#This Row],[TimeOnSite]]&lt;7, "Medium Visit", "Long Visit"))</f>
        <v>Long Visit</v>
      </c>
      <c r="J105">
        <v>62</v>
      </c>
      <c r="K105">
        <v>1</v>
      </c>
      <c r="L105">
        <v>1</v>
      </c>
      <c r="M105">
        <v>6</v>
      </c>
      <c r="N105">
        <v>201</v>
      </c>
      <c r="O105">
        <v>1</v>
      </c>
    </row>
    <row r="106" spans="1:15" x14ac:dyDescent="0.35">
      <c r="A106">
        <v>8343</v>
      </c>
      <c r="B106">
        <v>20</v>
      </c>
      <c r="C106" t="s">
        <v>27</v>
      </c>
      <c r="D106">
        <v>133216</v>
      </c>
      <c r="E106" t="str">
        <f>IF(Customer_analytics[[#This Row],[Income]]&lt;50000, "Low", IF(Customer_analytics[[#This Row],[Income]]&lt;100000, "Mid", "High"))</f>
        <v>High</v>
      </c>
      <c r="F106">
        <v>26</v>
      </c>
      <c r="G106">
        <v>4.8499999999999996</v>
      </c>
      <c r="H106">
        <v>12.27</v>
      </c>
      <c r="I106" t="str">
        <f>IF(Customer_analytics[[#This Row],[TimeOnSite]]&lt;3, "Short Visit", IF(Customer_analytics[[#This Row],[TimeOnSite]]&lt;7, "Medium Visit", "Long Visit"))</f>
        <v>Long Visit</v>
      </c>
      <c r="J106">
        <v>42</v>
      </c>
      <c r="K106">
        <v>10</v>
      </c>
      <c r="L106">
        <v>5</v>
      </c>
      <c r="M106">
        <v>9</v>
      </c>
      <c r="N106">
        <v>4101</v>
      </c>
      <c r="O106">
        <v>1</v>
      </c>
    </row>
    <row r="107" spans="1:15" x14ac:dyDescent="0.35">
      <c r="A107">
        <v>8344</v>
      </c>
      <c r="B107">
        <v>34</v>
      </c>
      <c r="C107" t="s">
        <v>21</v>
      </c>
      <c r="D107">
        <v>135845</v>
      </c>
      <c r="E107" t="str">
        <f>IF(Customer_analytics[[#This Row],[Income]]&lt;50000, "Low", IF(Customer_analytics[[#This Row],[Income]]&lt;100000, "Mid", "High"))</f>
        <v>High</v>
      </c>
      <c r="F107">
        <v>5</v>
      </c>
      <c r="G107">
        <v>9.6199999999999992</v>
      </c>
      <c r="H107">
        <v>1.87</v>
      </c>
      <c r="I107" t="str">
        <f>IF(Customer_analytics[[#This Row],[TimeOnSite]]&lt;3, "Short Visit", IF(Customer_analytics[[#This Row],[TimeOnSite]]&lt;7, "Medium Visit", "Long Visit"))</f>
        <v>Short Visit</v>
      </c>
      <c r="J107">
        <v>75</v>
      </c>
      <c r="K107">
        <v>13</v>
      </c>
      <c r="L107">
        <v>2</v>
      </c>
      <c r="M107">
        <v>1</v>
      </c>
      <c r="N107">
        <v>1558</v>
      </c>
      <c r="O107">
        <v>0</v>
      </c>
    </row>
    <row r="108" spans="1:15" x14ac:dyDescent="0.35">
      <c r="A108">
        <v>8346</v>
      </c>
      <c r="B108">
        <v>65</v>
      </c>
      <c r="C108" t="s">
        <v>21</v>
      </c>
      <c r="D108">
        <v>85391</v>
      </c>
      <c r="E108" t="str">
        <f>IF(Customer_analytics[[#This Row],[Income]]&lt;50000, "Low", IF(Customer_analytics[[#This Row],[Income]]&lt;100000, "Mid", "High"))</f>
        <v>Mid</v>
      </c>
      <c r="F108">
        <v>35</v>
      </c>
      <c r="G108">
        <v>9.9</v>
      </c>
      <c r="H108">
        <v>11.91</v>
      </c>
      <c r="I108" t="str">
        <f>IF(Customer_analytics[[#This Row],[TimeOnSite]]&lt;3, "Short Visit", IF(Customer_analytics[[#This Row],[TimeOnSite]]&lt;7, "Medium Visit", "Long Visit"))</f>
        <v>Long Visit</v>
      </c>
      <c r="J108">
        <v>44</v>
      </c>
      <c r="K108">
        <v>9</v>
      </c>
      <c r="L108">
        <v>0</v>
      </c>
      <c r="M108">
        <v>1</v>
      </c>
      <c r="N108">
        <v>3004</v>
      </c>
      <c r="O108">
        <v>1</v>
      </c>
    </row>
    <row r="109" spans="1:15" x14ac:dyDescent="0.35">
      <c r="A109">
        <v>8348</v>
      </c>
      <c r="B109">
        <v>68</v>
      </c>
      <c r="C109" t="s">
        <v>27</v>
      </c>
      <c r="D109">
        <v>143546</v>
      </c>
      <c r="E109" t="str">
        <f>IF(Customer_analytics[[#This Row],[Income]]&lt;50000, "Low", IF(Customer_analytics[[#This Row],[Income]]&lt;100000, "Mid", "High"))</f>
        <v>High</v>
      </c>
      <c r="F109">
        <v>19</v>
      </c>
      <c r="G109">
        <v>3.87</v>
      </c>
      <c r="H109">
        <v>4.07</v>
      </c>
      <c r="I109" t="str">
        <f>IF(Customer_analytics[[#This Row],[TimeOnSite]]&lt;3, "Short Visit", IF(Customer_analytics[[#This Row],[TimeOnSite]]&lt;7, "Medium Visit", "Long Visit"))</f>
        <v>Medium Visit</v>
      </c>
      <c r="J109">
        <v>53</v>
      </c>
      <c r="K109">
        <v>10</v>
      </c>
      <c r="L109">
        <v>3</v>
      </c>
      <c r="M109">
        <v>9</v>
      </c>
      <c r="N109">
        <v>628</v>
      </c>
      <c r="O109">
        <v>1</v>
      </c>
    </row>
    <row r="110" spans="1:15" x14ac:dyDescent="0.35">
      <c r="A110">
        <v>8350</v>
      </c>
      <c r="B110">
        <v>39</v>
      </c>
      <c r="C110" t="s">
        <v>27</v>
      </c>
      <c r="D110">
        <v>83411</v>
      </c>
      <c r="E110" t="str">
        <f>IF(Customer_analytics[[#This Row],[Income]]&lt;50000, "Low", IF(Customer_analytics[[#This Row],[Income]]&lt;100000, "Mid", "High"))</f>
        <v>Mid</v>
      </c>
      <c r="F110">
        <v>40</v>
      </c>
      <c r="G110">
        <v>7.77</v>
      </c>
      <c r="H110">
        <v>7.91</v>
      </c>
      <c r="I110" t="str">
        <f>IF(Customer_analytics[[#This Row],[TimeOnSite]]&lt;3, "Short Visit", IF(Customer_analytics[[#This Row],[TimeOnSite]]&lt;7, "Medium Visit", "Long Visit"))</f>
        <v>Long Visit</v>
      </c>
      <c r="J110">
        <v>6</v>
      </c>
      <c r="K110">
        <v>15</v>
      </c>
      <c r="L110">
        <v>9</v>
      </c>
      <c r="M110">
        <v>5</v>
      </c>
      <c r="N110">
        <v>1365</v>
      </c>
      <c r="O110">
        <v>1</v>
      </c>
    </row>
    <row r="111" spans="1:15" x14ac:dyDescent="0.35">
      <c r="A111">
        <v>8351</v>
      </c>
      <c r="B111">
        <v>63</v>
      </c>
      <c r="C111" t="s">
        <v>21</v>
      </c>
      <c r="D111">
        <v>129437</v>
      </c>
      <c r="E111" t="str">
        <f>IF(Customer_analytics[[#This Row],[Income]]&lt;50000, "Low", IF(Customer_analytics[[#This Row],[Income]]&lt;100000, "Mid", "High"))</f>
        <v>High</v>
      </c>
      <c r="F111">
        <v>39</v>
      </c>
      <c r="G111">
        <v>1.1599999999999999</v>
      </c>
      <c r="H111">
        <v>13.75</v>
      </c>
      <c r="I111" t="str">
        <f>IF(Customer_analytics[[#This Row],[TimeOnSite]]&lt;3, "Short Visit", IF(Customer_analytics[[#This Row],[TimeOnSite]]&lt;7, "Medium Visit", "Long Visit"))</f>
        <v>Long Visit</v>
      </c>
      <c r="J111">
        <v>35</v>
      </c>
      <c r="K111">
        <v>7</v>
      </c>
      <c r="L111">
        <v>0</v>
      </c>
      <c r="M111">
        <v>4</v>
      </c>
      <c r="N111">
        <v>2390</v>
      </c>
      <c r="O111">
        <v>1</v>
      </c>
    </row>
    <row r="112" spans="1:15" x14ac:dyDescent="0.35">
      <c r="A112">
        <v>8355</v>
      </c>
      <c r="B112">
        <v>62</v>
      </c>
      <c r="C112" t="s">
        <v>21</v>
      </c>
      <c r="D112">
        <v>20888</v>
      </c>
      <c r="E112" t="str">
        <f>IF(Customer_analytics[[#This Row],[Income]]&lt;50000, "Low", IF(Customer_analytics[[#This Row],[Income]]&lt;100000, "Mid", "High"))</f>
        <v>Low</v>
      </c>
      <c r="F112">
        <v>9</v>
      </c>
      <c r="G112">
        <v>8.0500000000000007</v>
      </c>
      <c r="H112">
        <v>10.16</v>
      </c>
      <c r="I112" t="str">
        <f>IF(Customer_analytics[[#This Row],[TimeOnSite]]&lt;3, "Short Visit", IF(Customer_analytics[[#This Row],[TimeOnSite]]&lt;7, "Medium Visit", "Long Visit"))</f>
        <v>Long Visit</v>
      </c>
      <c r="J112">
        <v>11</v>
      </c>
      <c r="K112">
        <v>16</v>
      </c>
      <c r="L112">
        <v>3</v>
      </c>
      <c r="M112">
        <v>8</v>
      </c>
      <c r="N112">
        <v>4516</v>
      </c>
      <c r="O112">
        <v>1</v>
      </c>
    </row>
    <row r="113" spans="1:15" x14ac:dyDescent="0.35">
      <c r="A113">
        <v>8359</v>
      </c>
      <c r="B113">
        <v>44</v>
      </c>
      <c r="C113" t="s">
        <v>27</v>
      </c>
      <c r="D113">
        <v>49424</v>
      </c>
      <c r="E113" t="str">
        <f>IF(Customer_analytics[[#This Row],[Income]]&lt;50000, "Low", IF(Customer_analytics[[#This Row],[Income]]&lt;100000, "Mid", "High"))</f>
        <v>Low</v>
      </c>
      <c r="F113">
        <v>34</v>
      </c>
      <c r="G113">
        <v>4.46</v>
      </c>
      <c r="H113">
        <v>4.78</v>
      </c>
      <c r="I113" t="str">
        <f>IF(Customer_analytics[[#This Row],[TimeOnSite]]&lt;3, "Short Visit", IF(Customer_analytics[[#This Row],[TimeOnSite]]&lt;7, "Medium Visit", "Long Visit"))</f>
        <v>Medium Visit</v>
      </c>
      <c r="J113">
        <v>55</v>
      </c>
      <c r="K113">
        <v>0</v>
      </c>
      <c r="L113">
        <v>8</v>
      </c>
      <c r="M113">
        <v>2</v>
      </c>
      <c r="N113">
        <v>303</v>
      </c>
      <c r="O113">
        <v>1</v>
      </c>
    </row>
    <row r="114" spans="1:15" x14ac:dyDescent="0.35">
      <c r="A114">
        <v>8363</v>
      </c>
      <c r="B114">
        <v>50</v>
      </c>
      <c r="C114" t="s">
        <v>21</v>
      </c>
      <c r="D114">
        <v>31075</v>
      </c>
      <c r="E114" t="str">
        <f>IF(Customer_analytics[[#This Row],[Income]]&lt;50000, "Low", IF(Customer_analytics[[#This Row],[Income]]&lt;100000, "Mid", "High"))</f>
        <v>Low</v>
      </c>
      <c r="F114">
        <v>37</v>
      </c>
      <c r="G114">
        <v>4.2699999999999996</v>
      </c>
      <c r="H114">
        <v>5.47</v>
      </c>
      <c r="I114" t="str">
        <f>IF(Customer_analytics[[#This Row],[TimeOnSite]]&lt;3, "Short Visit", IF(Customer_analytics[[#This Row],[TimeOnSite]]&lt;7, "Medium Visit", "Long Visit"))</f>
        <v>Medium Visit</v>
      </c>
      <c r="J114">
        <v>56</v>
      </c>
      <c r="K114">
        <v>15</v>
      </c>
      <c r="L114">
        <v>9</v>
      </c>
      <c r="M114">
        <v>8</v>
      </c>
      <c r="N114">
        <v>73</v>
      </c>
      <c r="O114">
        <v>1</v>
      </c>
    </row>
    <row r="115" spans="1:15" x14ac:dyDescent="0.35">
      <c r="A115">
        <v>8366</v>
      </c>
      <c r="B115">
        <v>50</v>
      </c>
      <c r="C115" t="s">
        <v>27</v>
      </c>
      <c r="D115">
        <v>136752</v>
      </c>
      <c r="E115" t="str">
        <f>IF(Customer_analytics[[#This Row],[Income]]&lt;50000, "Low", IF(Customer_analytics[[#This Row],[Income]]&lt;100000, "Mid", "High"))</f>
        <v>High</v>
      </c>
      <c r="F115">
        <v>36</v>
      </c>
      <c r="G115">
        <v>6.92</v>
      </c>
      <c r="H115">
        <v>4.7</v>
      </c>
      <c r="I115" t="str">
        <f>IF(Customer_analytics[[#This Row],[TimeOnSite]]&lt;3, "Short Visit", IF(Customer_analytics[[#This Row],[TimeOnSite]]&lt;7, "Medium Visit", "Long Visit"))</f>
        <v>Medium Visit</v>
      </c>
      <c r="J115">
        <v>69</v>
      </c>
      <c r="K115">
        <v>6</v>
      </c>
      <c r="L115">
        <v>2</v>
      </c>
      <c r="M115">
        <v>6</v>
      </c>
      <c r="N115">
        <v>1939</v>
      </c>
      <c r="O115">
        <v>1</v>
      </c>
    </row>
    <row r="116" spans="1:15" x14ac:dyDescent="0.35">
      <c r="A116">
        <v>8371</v>
      </c>
      <c r="B116">
        <v>52</v>
      </c>
      <c r="C116" t="s">
        <v>21</v>
      </c>
      <c r="D116">
        <v>23569</v>
      </c>
      <c r="E116" t="str">
        <f>IF(Customer_analytics[[#This Row],[Income]]&lt;50000, "Low", IF(Customer_analytics[[#This Row],[Income]]&lt;100000, "Mid", "High"))</f>
        <v>Low</v>
      </c>
      <c r="F116">
        <v>2</v>
      </c>
      <c r="G116">
        <v>1.68</v>
      </c>
      <c r="H116">
        <v>13.74</v>
      </c>
      <c r="I116" t="str">
        <f>IF(Customer_analytics[[#This Row],[TimeOnSite]]&lt;3, "Short Visit", IF(Customer_analytics[[#This Row],[TimeOnSite]]&lt;7, "Medium Visit", "Long Visit"))</f>
        <v>Long Visit</v>
      </c>
      <c r="J116">
        <v>11</v>
      </c>
      <c r="K116">
        <v>16</v>
      </c>
      <c r="L116">
        <v>8</v>
      </c>
      <c r="M116">
        <v>3</v>
      </c>
      <c r="N116">
        <v>1806</v>
      </c>
      <c r="O116">
        <v>1</v>
      </c>
    </row>
    <row r="117" spans="1:15" x14ac:dyDescent="0.35">
      <c r="A117">
        <v>8378</v>
      </c>
      <c r="B117">
        <v>63</v>
      </c>
      <c r="C117" t="s">
        <v>21</v>
      </c>
      <c r="D117">
        <v>112174</v>
      </c>
      <c r="E117" t="str">
        <f>IF(Customer_analytics[[#This Row],[Income]]&lt;50000, "Low", IF(Customer_analytics[[#This Row],[Income]]&lt;100000, "Mid", "High"))</f>
        <v>High</v>
      </c>
      <c r="F117">
        <v>15</v>
      </c>
      <c r="G117">
        <v>2</v>
      </c>
      <c r="H117">
        <v>0.59</v>
      </c>
      <c r="I117" t="str">
        <f>IF(Customer_analytics[[#This Row],[TimeOnSite]]&lt;3, "Short Visit", IF(Customer_analytics[[#This Row],[TimeOnSite]]&lt;7, "Medium Visit", "Long Visit"))</f>
        <v>Short Visit</v>
      </c>
      <c r="J117">
        <v>86</v>
      </c>
      <c r="K117">
        <v>5</v>
      </c>
      <c r="L117">
        <v>4</v>
      </c>
      <c r="M117">
        <v>4</v>
      </c>
      <c r="N117">
        <v>1278</v>
      </c>
      <c r="O117">
        <v>1</v>
      </c>
    </row>
    <row r="118" spans="1:15" x14ac:dyDescent="0.35">
      <c r="A118">
        <v>8381</v>
      </c>
      <c r="B118">
        <v>58</v>
      </c>
      <c r="C118" t="s">
        <v>27</v>
      </c>
      <c r="D118">
        <v>107151</v>
      </c>
      <c r="E118" t="str">
        <f>IF(Customer_analytics[[#This Row],[Income]]&lt;50000, "Low", IF(Customer_analytics[[#This Row],[Income]]&lt;100000, "Mid", "High"))</f>
        <v>High</v>
      </c>
      <c r="F118">
        <v>13</v>
      </c>
      <c r="G118">
        <v>3.42</v>
      </c>
      <c r="H118">
        <v>2.2400000000000002</v>
      </c>
      <c r="I118" t="str">
        <f>IF(Customer_analytics[[#This Row],[TimeOnSite]]&lt;3, "Short Visit", IF(Customer_analytics[[#This Row],[TimeOnSite]]&lt;7, "Medium Visit", "Long Visit"))</f>
        <v>Short Visit</v>
      </c>
      <c r="J118">
        <v>3</v>
      </c>
      <c r="K118">
        <v>9</v>
      </c>
      <c r="L118">
        <v>6</v>
      </c>
      <c r="M118">
        <v>3</v>
      </c>
      <c r="N118">
        <v>3124</v>
      </c>
      <c r="O118">
        <v>1</v>
      </c>
    </row>
    <row r="119" spans="1:15" x14ac:dyDescent="0.35">
      <c r="A119">
        <v>8387</v>
      </c>
      <c r="B119">
        <v>48</v>
      </c>
      <c r="C119" t="s">
        <v>27</v>
      </c>
      <c r="D119">
        <v>135513</v>
      </c>
      <c r="E119" t="str">
        <f>IF(Customer_analytics[[#This Row],[Income]]&lt;50000, "Low", IF(Customer_analytics[[#This Row],[Income]]&lt;100000, "Mid", "High"))</f>
        <v>High</v>
      </c>
      <c r="F119">
        <v>48</v>
      </c>
      <c r="G119">
        <v>2.54</v>
      </c>
      <c r="H119">
        <v>8.42</v>
      </c>
      <c r="I119" t="str">
        <f>IF(Customer_analytics[[#This Row],[TimeOnSite]]&lt;3, "Short Visit", IF(Customer_analytics[[#This Row],[TimeOnSite]]&lt;7, "Medium Visit", "Long Visit"))</f>
        <v>Long Visit</v>
      </c>
      <c r="J119">
        <v>39</v>
      </c>
      <c r="K119">
        <v>13</v>
      </c>
      <c r="L119">
        <v>4</v>
      </c>
      <c r="M119">
        <v>4</v>
      </c>
      <c r="N119">
        <v>2001</v>
      </c>
      <c r="O119">
        <v>1</v>
      </c>
    </row>
    <row r="120" spans="1:15" x14ac:dyDescent="0.35">
      <c r="A120">
        <v>8395</v>
      </c>
      <c r="B120">
        <v>20</v>
      </c>
      <c r="C120" t="s">
        <v>27</v>
      </c>
      <c r="D120">
        <v>21310</v>
      </c>
      <c r="E120" t="str">
        <f>IF(Customer_analytics[[#This Row],[Income]]&lt;50000, "Low", IF(Customer_analytics[[#This Row],[Income]]&lt;100000, "Mid", "High"))</f>
        <v>Low</v>
      </c>
      <c r="F120">
        <v>42</v>
      </c>
      <c r="G120">
        <v>5.71</v>
      </c>
      <c r="H120">
        <v>14.79</v>
      </c>
      <c r="I120" t="str">
        <f>IF(Customer_analytics[[#This Row],[TimeOnSite]]&lt;3, "Short Visit", IF(Customer_analytics[[#This Row],[TimeOnSite]]&lt;7, "Medium Visit", "Long Visit"))</f>
        <v>Long Visit</v>
      </c>
      <c r="J120">
        <v>17</v>
      </c>
      <c r="K120">
        <v>2</v>
      </c>
      <c r="L120">
        <v>7</v>
      </c>
      <c r="M120">
        <v>2</v>
      </c>
      <c r="N120">
        <v>2905</v>
      </c>
      <c r="O120">
        <v>1</v>
      </c>
    </row>
    <row r="121" spans="1:15" x14ac:dyDescent="0.35">
      <c r="A121">
        <v>8396</v>
      </c>
      <c r="B121">
        <v>35</v>
      </c>
      <c r="C121" t="s">
        <v>21</v>
      </c>
      <c r="D121">
        <v>146913</v>
      </c>
      <c r="E121" t="str">
        <f>IF(Customer_analytics[[#This Row],[Income]]&lt;50000, "Low", IF(Customer_analytics[[#This Row],[Income]]&lt;100000, "Mid", "High"))</f>
        <v>High</v>
      </c>
      <c r="F121">
        <v>33</v>
      </c>
      <c r="G121">
        <v>7.89</v>
      </c>
      <c r="H121">
        <v>3.34</v>
      </c>
      <c r="I121" t="str">
        <f>IF(Customer_analytics[[#This Row],[TimeOnSite]]&lt;3, "Short Visit", IF(Customer_analytics[[#This Row],[TimeOnSite]]&lt;7, "Medium Visit", "Long Visit"))</f>
        <v>Medium Visit</v>
      </c>
      <c r="J121">
        <v>80</v>
      </c>
      <c r="K121">
        <v>12</v>
      </c>
      <c r="L121">
        <v>1</v>
      </c>
      <c r="M121">
        <v>9</v>
      </c>
      <c r="N121">
        <v>2392</v>
      </c>
      <c r="O121">
        <v>1</v>
      </c>
    </row>
    <row r="122" spans="1:15" x14ac:dyDescent="0.35">
      <c r="A122">
        <v>8398</v>
      </c>
      <c r="B122">
        <v>59</v>
      </c>
      <c r="C122" t="s">
        <v>21</v>
      </c>
      <c r="D122">
        <v>133769</v>
      </c>
      <c r="E122" t="str">
        <f>IF(Customer_analytics[[#This Row],[Income]]&lt;50000, "Low", IF(Customer_analytics[[#This Row],[Income]]&lt;100000, "Mid", "High"))</f>
        <v>High</v>
      </c>
      <c r="F122">
        <v>27</v>
      </c>
      <c r="G122">
        <v>1.68</v>
      </c>
      <c r="H122">
        <v>7.69</v>
      </c>
      <c r="I122" t="str">
        <f>IF(Customer_analytics[[#This Row],[TimeOnSite]]&lt;3, "Short Visit", IF(Customer_analytics[[#This Row],[TimeOnSite]]&lt;7, "Medium Visit", "Long Visit"))</f>
        <v>Long Visit</v>
      </c>
      <c r="J122">
        <v>66</v>
      </c>
      <c r="K122">
        <v>16</v>
      </c>
      <c r="L122">
        <v>8</v>
      </c>
      <c r="M122">
        <v>2</v>
      </c>
      <c r="N122">
        <v>2107</v>
      </c>
      <c r="O122">
        <v>1</v>
      </c>
    </row>
    <row r="123" spans="1:15" x14ac:dyDescent="0.35">
      <c r="A123">
        <v>8403</v>
      </c>
      <c r="B123">
        <v>41</v>
      </c>
      <c r="C123" t="s">
        <v>27</v>
      </c>
      <c r="D123">
        <v>28906</v>
      </c>
      <c r="E123" t="str">
        <f>IF(Customer_analytics[[#This Row],[Income]]&lt;50000, "Low", IF(Customer_analytics[[#This Row],[Income]]&lt;100000, "Mid", "High"))</f>
        <v>Low</v>
      </c>
      <c r="F123">
        <v>33</v>
      </c>
      <c r="G123">
        <v>2.4700000000000002</v>
      </c>
      <c r="H123">
        <v>14.8</v>
      </c>
      <c r="I123" t="str">
        <f>IF(Customer_analytics[[#This Row],[TimeOnSite]]&lt;3, "Short Visit", IF(Customer_analytics[[#This Row],[TimeOnSite]]&lt;7, "Medium Visit", "Long Visit"))</f>
        <v>Long Visit</v>
      </c>
      <c r="J123">
        <v>46</v>
      </c>
      <c r="K123">
        <v>14</v>
      </c>
      <c r="L123">
        <v>4</v>
      </c>
      <c r="M123">
        <v>7</v>
      </c>
      <c r="N123">
        <v>450</v>
      </c>
      <c r="O123">
        <v>1</v>
      </c>
    </row>
    <row r="124" spans="1:15" x14ac:dyDescent="0.35">
      <c r="A124">
        <v>8408</v>
      </c>
      <c r="B124">
        <v>40</v>
      </c>
      <c r="C124" t="s">
        <v>27</v>
      </c>
      <c r="D124">
        <v>149080</v>
      </c>
      <c r="E124" t="str">
        <f>IF(Customer_analytics[[#This Row],[Income]]&lt;50000, "Low", IF(Customer_analytics[[#This Row],[Income]]&lt;100000, "Mid", "High"))</f>
        <v>High</v>
      </c>
      <c r="F124">
        <v>21</v>
      </c>
      <c r="G124">
        <v>9.16</v>
      </c>
      <c r="H124">
        <v>12.04</v>
      </c>
      <c r="I124" t="str">
        <f>IF(Customer_analytics[[#This Row],[TimeOnSite]]&lt;3, "Short Visit", IF(Customer_analytics[[#This Row],[TimeOnSite]]&lt;7, "Medium Visit", "Long Visit"))</f>
        <v>Long Visit</v>
      </c>
      <c r="J124">
        <v>11</v>
      </c>
      <c r="K124">
        <v>13</v>
      </c>
      <c r="L124">
        <v>7</v>
      </c>
      <c r="M124">
        <v>4</v>
      </c>
      <c r="N124">
        <v>4301</v>
      </c>
      <c r="O124">
        <v>1</v>
      </c>
    </row>
    <row r="125" spans="1:15" x14ac:dyDescent="0.35">
      <c r="A125">
        <v>8411</v>
      </c>
      <c r="B125">
        <v>59</v>
      </c>
      <c r="C125" t="s">
        <v>21</v>
      </c>
      <c r="D125">
        <v>133591</v>
      </c>
      <c r="E125" t="str">
        <f>IF(Customer_analytics[[#This Row],[Income]]&lt;50000, "Low", IF(Customer_analytics[[#This Row],[Income]]&lt;100000, "Mid", "High"))</f>
        <v>High</v>
      </c>
      <c r="F125">
        <v>35</v>
      </c>
      <c r="G125">
        <v>7.31</v>
      </c>
      <c r="H125">
        <v>1.87</v>
      </c>
      <c r="I125" t="str">
        <f>IF(Customer_analytics[[#This Row],[TimeOnSite]]&lt;3, "Short Visit", IF(Customer_analytics[[#This Row],[TimeOnSite]]&lt;7, "Medium Visit", "Long Visit"))</f>
        <v>Short Visit</v>
      </c>
      <c r="J125">
        <v>55</v>
      </c>
      <c r="K125">
        <v>3</v>
      </c>
      <c r="L125">
        <v>0</v>
      </c>
      <c r="M125">
        <v>0</v>
      </c>
      <c r="N125">
        <v>1238</v>
      </c>
      <c r="O125">
        <v>1</v>
      </c>
    </row>
    <row r="126" spans="1:15" x14ac:dyDescent="0.35">
      <c r="A126">
        <v>8413</v>
      </c>
      <c r="B126">
        <v>43</v>
      </c>
      <c r="C126" t="s">
        <v>27</v>
      </c>
      <c r="D126">
        <v>43684</v>
      </c>
      <c r="E126" t="str">
        <f>IF(Customer_analytics[[#This Row],[Income]]&lt;50000, "Low", IF(Customer_analytics[[#This Row],[Income]]&lt;100000, "Mid", "High"))</f>
        <v>Low</v>
      </c>
      <c r="F126">
        <v>36</v>
      </c>
      <c r="G126">
        <v>9.94</v>
      </c>
      <c r="H126">
        <v>8.5399999999999991</v>
      </c>
      <c r="I126" t="str">
        <f>IF(Customer_analytics[[#This Row],[TimeOnSite]]&lt;3, "Short Visit", IF(Customer_analytics[[#This Row],[TimeOnSite]]&lt;7, "Medium Visit", "Long Visit"))</f>
        <v>Long Visit</v>
      </c>
      <c r="J126">
        <v>50</v>
      </c>
      <c r="K126">
        <v>8</v>
      </c>
      <c r="L126">
        <v>0</v>
      </c>
      <c r="M126">
        <v>7</v>
      </c>
      <c r="N126">
        <v>2658</v>
      </c>
      <c r="O126">
        <v>1</v>
      </c>
    </row>
    <row r="127" spans="1:15" x14ac:dyDescent="0.35">
      <c r="A127">
        <v>8415</v>
      </c>
      <c r="B127">
        <v>57</v>
      </c>
      <c r="C127" t="s">
        <v>27</v>
      </c>
      <c r="D127">
        <v>65330</v>
      </c>
      <c r="E127" t="str">
        <f>IF(Customer_analytics[[#This Row],[Income]]&lt;50000, "Low", IF(Customer_analytics[[#This Row],[Income]]&lt;100000, "Mid", "High"))</f>
        <v>Mid</v>
      </c>
      <c r="F127">
        <v>3</v>
      </c>
      <c r="G127">
        <v>6.17</v>
      </c>
      <c r="H127">
        <v>14.42</v>
      </c>
      <c r="I127" t="str">
        <f>IF(Customer_analytics[[#This Row],[TimeOnSite]]&lt;3, "Short Visit", IF(Customer_analytics[[#This Row],[TimeOnSite]]&lt;7, "Medium Visit", "Long Visit"))</f>
        <v>Long Visit</v>
      </c>
      <c r="J127">
        <v>72</v>
      </c>
      <c r="K127">
        <v>0</v>
      </c>
      <c r="L127">
        <v>6</v>
      </c>
      <c r="M127">
        <v>3</v>
      </c>
      <c r="N127">
        <v>3890</v>
      </c>
      <c r="O127">
        <v>1</v>
      </c>
    </row>
    <row r="128" spans="1:15" x14ac:dyDescent="0.35">
      <c r="A128">
        <v>8416</v>
      </c>
      <c r="B128">
        <v>50</v>
      </c>
      <c r="C128" t="s">
        <v>21</v>
      </c>
      <c r="D128">
        <v>128214</v>
      </c>
      <c r="E128" t="str">
        <f>IF(Customer_analytics[[#This Row],[Income]]&lt;50000, "Low", IF(Customer_analytics[[#This Row],[Income]]&lt;100000, "Mid", "High"))</f>
        <v>High</v>
      </c>
      <c r="F128">
        <v>3</v>
      </c>
      <c r="G128">
        <v>8.85</v>
      </c>
      <c r="H128">
        <v>6.16</v>
      </c>
      <c r="I128" t="str">
        <f>IF(Customer_analytics[[#This Row],[TimeOnSite]]&lt;3, "Short Visit", IF(Customer_analytics[[#This Row],[TimeOnSite]]&lt;7, "Medium Visit", "Long Visit"))</f>
        <v>Medium Visit</v>
      </c>
      <c r="J128">
        <v>65</v>
      </c>
      <c r="K128">
        <v>11</v>
      </c>
      <c r="L128">
        <v>1</v>
      </c>
      <c r="M128">
        <v>1</v>
      </c>
      <c r="N128">
        <v>3990</v>
      </c>
      <c r="O128">
        <v>1</v>
      </c>
    </row>
    <row r="129" spans="1:15" x14ac:dyDescent="0.35">
      <c r="A129">
        <v>8419</v>
      </c>
      <c r="B129">
        <v>65</v>
      </c>
      <c r="C129" t="s">
        <v>21</v>
      </c>
      <c r="D129">
        <v>112203</v>
      </c>
      <c r="E129" t="str">
        <f>IF(Customer_analytics[[#This Row],[Income]]&lt;50000, "Low", IF(Customer_analytics[[#This Row],[Income]]&lt;100000, "Mid", "High"))</f>
        <v>High</v>
      </c>
      <c r="F129">
        <v>42</v>
      </c>
      <c r="G129">
        <v>7.48</v>
      </c>
      <c r="H129">
        <v>5.05</v>
      </c>
      <c r="I129" t="str">
        <f>IF(Customer_analytics[[#This Row],[TimeOnSite]]&lt;3, "Short Visit", IF(Customer_analytics[[#This Row],[TimeOnSite]]&lt;7, "Medium Visit", "Long Visit"))</f>
        <v>Medium Visit</v>
      </c>
      <c r="J129">
        <v>7</v>
      </c>
      <c r="K129">
        <v>2</v>
      </c>
      <c r="L129">
        <v>6</v>
      </c>
      <c r="M129">
        <v>7</v>
      </c>
      <c r="N129">
        <v>3197</v>
      </c>
      <c r="O129">
        <v>1</v>
      </c>
    </row>
    <row r="130" spans="1:15" x14ac:dyDescent="0.35">
      <c r="A130">
        <v>8420</v>
      </c>
      <c r="B130">
        <v>56</v>
      </c>
      <c r="C130" t="s">
        <v>21</v>
      </c>
      <c r="D130">
        <v>45293</v>
      </c>
      <c r="E130" t="str">
        <f>IF(Customer_analytics[[#This Row],[Income]]&lt;50000, "Low", IF(Customer_analytics[[#This Row],[Income]]&lt;100000, "Mid", "High"))</f>
        <v>Low</v>
      </c>
      <c r="F130">
        <v>49</v>
      </c>
      <c r="G130">
        <v>6.64</v>
      </c>
      <c r="H130">
        <v>5.17</v>
      </c>
      <c r="I130" t="str">
        <f>IF(Customer_analytics[[#This Row],[TimeOnSite]]&lt;3, "Short Visit", IF(Customer_analytics[[#This Row],[TimeOnSite]]&lt;7, "Medium Visit", "Long Visit"))</f>
        <v>Medium Visit</v>
      </c>
      <c r="J130">
        <v>37</v>
      </c>
      <c r="K130">
        <v>10</v>
      </c>
      <c r="L130">
        <v>2</v>
      </c>
      <c r="M130">
        <v>0</v>
      </c>
      <c r="N130">
        <v>4258</v>
      </c>
      <c r="O130">
        <v>1</v>
      </c>
    </row>
    <row r="131" spans="1:15" x14ac:dyDescent="0.35">
      <c r="A131">
        <v>8421</v>
      </c>
      <c r="B131">
        <v>46</v>
      </c>
      <c r="C131" t="s">
        <v>21</v>
      </c>
      <c r="D131">
        <v>76869</v>
      </c>
      <c r="E131" t="str">
        <f>IF(Customer_analytics[[#This Row],[Income]]&lt;50000, "Low", IF(Customer_analytics[[#This Row],[Income]]&lt;100000, "Mid", "High"))</f>
        <v>Mid</v>
      </c>
      <c r="F131">
        <v>25</v>
      </c>
      <c r="G131">
        <v>4.6500000000000004</v>
      </c>
      <c r="H131">
        <v>6.95</v>
      </c>
      <c r="I131" t="str">
        <f>IF(Customer_analytics[[#This Row],[TimeOnSite]]&lt;3, "Short Visit", IF(Customer_analytics[[#This Row],[TimeOnSite]]&lt;7, "Medium Visit", "Long Visit"))</f>
        <v>Medium Visit</v>
      </c>
      <c r="J131">
        <v>5</v>
      </c>
      <c r="K131">
        <v>9</v>
      </c>
      <c r="L131">
        <v>4</v>
      </c>
      <c r="M131">
        <v>2</v>
      </c>
      <c r="N131">
        <v>10</v>
      </c>
      <c r="O131">
        <v>1</v>
      </c>
    </row>
    <row r="132" spans="1:15" x14ac:dyDescent="0.35">
      <c r="A132">
        <v>8422</v>
      </c>
      <c r="B132">
        <v>59</v>
      </c>
      <c r="C132" t="s">
        <v>27</v>
      </c>
      <c r="D132">
        <v>110429</v>
      </c>
      <c r="E132" t="str">
        <f>IF(Customer_analytics[[#This Row],[Income]]&lt;50000, "Low", IF(Customer_analytics[[#This Row],[Income]]&lt;100000, "Mid", "High"))</f>
        <v>High</v>
      </c>
      <c r="F132">
        <v>32</v>
      </c>
      <c r="G132">
        <v>9.5</v>
      </c>
      <c r="H132">
        <v>10.55</v>
      </c>
      <c r="I132" t="str">
        <f>IF(Customer_analytics[[#This Row],[TimeOnSite]]&lt;3, "Short Visit", IF(Customer_analytics[[#This Row],[TimeOnSite]]&lt;7, "Medium Visit", "Long Visit"))</f>
        <v>Long Visit</v>
      </c>
      <c r="J132">
        <v>58</v>
      </c>
      <c r="K132">
        <v>18</v>
      </c>
      <c r="L132">
        <v>0</v>
      </c>
      <c r="M132">
        <v>0</v>
      </c>
      <c r="N132">
        <v>3441</v>
      </c>
      <c r="O132">
        <v>1</v>
      </c>
    </row>
    <row r="133" spans="1:15" x14ac:dyDescent="0.35">
      <c r="A133">
        <v>8425</v>
      </c>
      <c r="B133">
        <v>67</v>
      </c>
      <c r="C133" t="s">
        <v>21</v>
      </c>
      <c r="D133">
        <v>21776</v>
      </c>
      <c r="E133" t="str">
        <f>IF(Customer_analytics[[#This Row],[Income]]&lt;50000, "Low", IF(Customer_analytics[[#This Row],[Income]]&lt;100000, "Mid", "High"))</f>
        <v>Low</v>
      </c>
      <c r="F133">
        <v>8</v>
      </c>
      <c r="G133">
        <v>8.26</v>
      </c>
      <c r="H133">
        <v>5.76</v>
      </c>
      <c r="I133" t="str">
        <f>IF(Customer_analytics[[#This Row],[TimeOnSite]]&lt;3, "Short Visit", IF(Customer_analytics[[#This Row],[TimeOnSite]]&lt;7, "Medium Visit", "Long Visit"))</f>
        <v>Medium Visit</v>
      </c>
      <c r="J133">
        <v>55</v>
      </c>
      <c r="K133">
        <v>7</v>
      </c>
      <c r="L133">
        <v>9</v>
      </c>
      <c r="M133">
        <v>5</v>
      </c>
      <c r="N133">
        <v>4140</v>
      </c>
      <c r="O133">
        <v>1</v>
      </c>
    </row>
    <row r="134" spans="1:15" x14ac:dyDescent="0.35">
      <c r="A134">
        <v>8427</v>
      </c>
      <c r="B134">
        <v>41</v>
      </c>
      <c r="C134" t="s">
        <v>27</v>
      </c>
      <c r="D134">
        <v>68281</v>
      </c>
      <c r="E134" t="str">
        <f>IF(Customer_analytics[[#This Row],[Income]]&lt;50000, "Low", IF(Customer_analytics[[#This Row],[Income]]&lt;100000, "Mid", "High"))</f>
        <v>Mid</v>
      </c>
      <c r="F134">
        <v>10</v>
      </c>
      <c r="G134">
        <v>1.99</v>
      </c>
      <c r="H134">
        <v>0.87</v>
      </c>
      <c r="I134" t="str">
        <f>IF(Customer_analytics[[#This Row],[TimeOnSite]]&lt;3, "Short Visit", IF(Customer_analytics[[#This Row],[TimeOnSite]]&lt;7, "Medium Visit", "Long Visit"))</f>
        <v>Short Visit</v>
      </c>
      <c r="J134">
        <v>93</v>
      </c>
      <c r="K134">
        <v>9</v>
      </c>
      <c r="L134">
        <v>3</v>
      </c>
      <c r="M134">
        <v>6</v>
      </c>
      <c r="N134">
        <v>3591</v>
      </c>
      <c r="O134">
        <v>1</v>
      </c>
    </row>
    <row r="135" spans="1:15" x14ac:dyDescent="0.35">
      <c r="A135">
        <v>8430</v>
      </c>
      <c r="B135">
        <v>53</v>
      </c>
      <c r="C135" t="s">
        <v>21</v>
      </c>
      <c r="D135">
        <v>51236</v>
      </c>
      <c r="E135" t="str">
        <f>IF(Customer_analytics[[#This Row],[Income]]&lt;50000, "Low", IF(Customer_analytics[[#This Row],[Income]]&lt;100000, "Mid", "High"))</f>
        <v>Mid</v>
      </c>
      <c r="F135">
        <v>31</v>
      </c>
      <c r="G135">
        <v>1.65</v>
      </c>
      <c r="H135">
        <v>2.44</v>
      </c>
      <c r="I135" t="str">
        <f>IF(Customer_analytics[[#This Row],[TimeOnSite]]&lt;3, "Short Visit", IF(Customer_analytics[[#This Row],[TimeOnSite]]&lt;7, "Medium Visit", "Long Visit"))</f>
        <v>Short Visit</v>
      </c>
      <c r="J135">
        <v>44</v>
      </c>
      <c r="K135">
        <v>6</v>
      </c>
      <c r="L135">
        <v>7</v>
      </c>
      <c r="M135">
        <v>1</v>
      </c>
      <c r="N135">
        <v>1816</v>
      </c>
      <c r="O135">
        <v>1</v>
      </c>
    </row>
    <row r="136" spans="1:15" x14ac:dyDescent="0.35">
      <c r="A136">
        <v>8433</v>
      </c>
      <c r="B136">
        <v>18</v>
      </c>
      <c r="C136" t="s">
        <v>21</v>
      </c>
      <c r="D136">
        <v>89205</v>
      </c>
      <c r="E136" t="str">
        <f>IF(Customer_analytics[[#This Row],[Income]]&lt;50000, "Low", IF(Customer_analytics[[#This Row],[Income]]&lt;100000, "Mid", "High"))</f>
        <v>Mid</v>
      </c>
      <c r="F136">
        <v>39</v>
      </c>
      <c r="G136">
        <v>5.2</v>
      </c>
      <c r="H136">
        <v>10.41</v>
      </c>
      <c r="I136" t="str">
        <f>IF(Customer_analytics[[#This Row],[TimeOnSite]]&lt;3, "Short Visit", IF(Customer_analytics[[#This Row],[TimeOnSite]]&lt;7, "Medium Visit", "Long Visit"))</f>
        <v>Long Visit</v>
      </c>
      <c r="J136">
        <v>49</v>
      </c>
      <c r="K136">
        <v>6</v>
      </c>
      <c r="L136">
        <v>1</v>
      </c>
      <c r="M136">
        <v>0</v>
      </c>
      <c r="N136">
        <v>3965</v>
      </c>
      <c r="O136">
        <v>1</v>
      </c>
    </row>
    <row r="137" spans="1:15" x14ac:dyDescent="0.35">
      <c r="A137">
        <v>8434</v>
      </c>
      <c r="B137">
        <v>25</v>
      </c>
      <c r="C137" t="s">
        <v>21</v>
      </c>
      <c r="D137">
        <v>103120</v>
      </c>
      <c r="E137" t="str">
        <f>IF(Customer_analytics[[#This Row],[Income]]&lt;50000, "Low", IF(Customer_analytics[[#This Row],[Income]]&lt;100000, "Mid", "High"))</f>
        <v>High</v>
      </c>
      <c r="F137">
        <v>27</v>
      </c>
      <c r="G137">
        <v>9.7200000000000006</v>
      </c>
      <c r="H137">
        <v>6.13</v>
      </c>
      <c r="I137" t="str">
        <f>IF(Customer_analytics[[#This Row],[TimeOnSite]]&lt;3, "Short Visit", IF(Customer_analytics[[#This Row],[TimeOnSite]]&lt;7, "Medium Visit", "Long Visit"))</f>
        <v>Medium Visit</v>
      </c>
      <c r="J137">
        <v>31</v>
      </c>
      <c r="K137">
        <v>15</v>
      </c>
      <c r="L137">
        <v>8</v>
      </c>
      <c r="M137">
        <v>9</v>
      </c>
      <c r="N137">
        <v>4446</v>
      </c>
      <c r="O137">
        <v>1</v>
      </c>
    </row>
    <row r="138" spans="1:15" x14ac:dyDescent="0.35">
      <c r="A138">
        <v>8440</v>
      </c>
      <c r="B138">
        <v>40</v>
      </c>
      <c r="C138" t="s">
        <v>27</v>
      </c>
      <c r="D138">
        <v>21933</v>
      </c>
      <c r="E138" t="str">
        <f>IF(Customer_analytics[[#This Row],[Income]]&lt;50000, "Low", IF(Customer_analytics[[#This Row],[Income]]&lt;100000, "Mid", "High"))</f>
        <v>Low</v>
      </c>
      <c r="F138">
        <v>18</v>
      </c>
      <c r="G138">
        <v>3.97</v>
      </c>
      <c r="H138">
        <v>10.46</v>
      </c>
      <c r="I138" t="str">
        <f>IF(Customer_analytics[[#This Row],[TimeOnSite]]&lt;3, "Short Visit", IF(Customer_analytics[[#This Row],[TimeOnSite]]&lt;7, "Medium Visit", "Long Visit"))</f>
        <v>Long Visit</v>
      </c>
      <c r="J138">
        <v>65</v>
      </c>
      <c r="K138">
        <v>16</v>
      </c>
      <c r="L138">
        <v>7</v>
      </c>
      <c r="M138">
        <v>1</v>
      </c>
      <c r="N138">
        <v>3313</v>
      </c>
      <c r="O138">
        <v>1</v>
      </c>
    </row>
    <row r="139" spans="1:15" x14ac:dyDescent="0.35">
      <c r="A139">
        <v>8441</v>
      </c>
      <c r="B139">
        <v>32</v>
      </c>
      <c r="C139" t="s">
        <v>27</v>
      </c>
      <c r="D139">
        <v>53514</v>
      </c>
      <c r="E139" t="str">
        <f>IF(Customer_analytics[[#This Row],[Income]]&lt;50000, "Low", IF(Customer_analytics[[#This Row],[Income]]&lt;100000, "Mid", "High"))</f>
        <v>Mid</v>
      </c>
      <c r="F139">
        <v>1</v>
      </c>
      <c r="G139">
        <v>5.98</v>
      </c>
      <c r="H139">
        <v>2.34</v>
      </c>
      <c r="I139" t="str">
        <f>IF(Customer_analytics[[#This Row],[TimeOnSite]]&lt;3, "Short Visit", IF(Customer_analytics[[#This Row],[TimeOnSite]]&lt;7, "Medium Visit", "Long Visit"))</f>
        <v>Short Visit</v>
      </c>
      <c r="J139">
        <v>66</v>
      </c>
      <c r="K139">
        <v>16</v>
      </c>
      <c r="L139">
        <v>0</v>
      </c>
      <c r="M139">
        <v>8</v>
      </c>
      <c r="N139">
        <v>4791</v>
      </c>
      <c r="O139">
        <v>1</v>
      </c>
    </row>
    <row r="140" spans="1:15" x14ac:dyDescent="0.35">
      <c r="A140">
        <v>8445</v>
      </c>
      <c r="B140">
        <v>49</v>
      </c>
      <c r="C140" t="s">
        <v>21</v>
      </c>
      <c r="D140">
        <v>112607</v>
      </c>
      <c r="E140" t="str">
        <f>IF(Customer_analytics[[#This Row],[Income]]&lt;50000, "Low", IF(Customer_analytics[[#This Row],[Income]]&lt;100000, "Mid", "High"))</f>
        <v>High</v>
      </c>
      <c r="F140">
        <v>17</v>
      </c>
      <c r="G140">
        <v>2.38</v>
      </c>
      <c r="H140">
        <v>10.07</v>
      </c>
      <c r="I140" t="str">
        <f>IF(Customer_analytics[[#This Row],[TimeOnSite]]&lt;3, "Short Visit", IF(Customer_analytics[[#This Row],[TimeOnSite]]&lt;7, "Medium Visit", "Long Visit"))</f>
        <v>Long Visit</v>
      </c>
      <c r="J140">
        <v>17</v>
      </c>
      <c r="K140">
        <v>13</v>
      </c>
      <c r="L140">
        <v>2</v>
      </c>
      <c r="M140">
        <v>7</v>
      </c>
      <c r="N140">
        <v>3993</v>
      </c>
      <c r="O140">
        <v>1</v>
      </c>
    </row>
    <row r="141" spans="1:15" x14ac:dyDescent="0.35">
      <c r="A141">
        <v>8449</v>
      </c>
      <c r="B141">
        <v>42</v>
      </c>
      <c r="C141" t="s">
        <v>21</v>
      </c>
      <c r="D141">
        <v>134501</v>
      </c>
      <c r="E141" t="str">
        <f>IF(Customer_analytics[[#This Row],[Income]]&lt;50000, "Low", IF(Customer_analytics[[#This Row],[Income]]&lt;100000, "Mid", "High"))</f>
        <v>High</v>
      </c>
      <c r="F141">
        <v>43</v>
      </c>
      <c r="G141">
        <v>4.92</v>
      </c>
      <c r="H141">
        <v>8.49</v>
      </c>
      <c r="I141" t="str">
        <f>IF(Customer_analytics[[#This Row],[TimeOnSite]]&lt;3, "Short Visit", IF(Customer_analytics[[#This Row],[TimeOnSite]]&lt;7, "Medium Visit", "Long Visit"))</f>
        <v>Long Visit</v>
      </c>
      <c r="J141">
        <v>84</v>
      </c>
      <c r="K141">
        <v>14</v>
      </c>
      <c r="L141">
        <v>9</v>
      </c>
      <c r="M141">
        <v>2</v>
      </c>
      <c r="N141">
        <v>2754</v>
      </c>
      <c r="O141">
        <v>1</v>
      </c>
    </row>
    <row r="142" spans="1:15" x14ac:dyDescent="0.35">
      <c r="A142">
        <v>8452</v>
      </c>
      <c r="B142">
        <v>66</v>
      </c>
      <c r="C142" t="s">
        <v>21</v>
      </c>
      <c r="D142">
        <v>59695</v>
      </c>
      <c r="E142" t="str">
        <f>IF(Customer_analytics[[#This Row],[Income]]&lt;50000, "Low", IF(Customer_analytics[[#This Row],[Income]]&lt;100000, "Mid", "High"))</f>
        <v>Mid</v>
      </c>
      <c r="F142">
        <v>37</v>
      </c>
      <c r="G142">
        <v>2.5099999999999998</v>
      </c>
      <c r="H142">
        <v>11.23</v>
      </c>
      <c r="I142" t="str">
        <f>IF(Customer_analytics[[#This Row],[TimeOnSite]]&lt;3, "Short Visit", IF(Customer_analytics[[#This Row],[TimeOnSite]]&lt;7, "Medium Visit", "Long Visit"))</f>
        <v>Long Visit</v>
      </c>
      <c r="J142">
        <v>63</v>
      </c>
      <c r="K142">
        <v>11</v>
      </c>
      <c r="L142">
        <v>6</v>
      </c>
      <c r="M142">
        <v>1</v>
      </c>
      <c r="N142">
        <v>162</v>
      </c>
      <c r="O142">
        <v>1</v>
      </c>
    </row>
    <row r="143" spans="1:15" x14ac:dyDescent="0.35">
      <c r="A143">
        <v>8457</v>
      </c>
      <c r="B143">
        <v>60</v>
      </c>
      <c r="C143" t="s">
        <v>21</v>
      </c>
      <c r="D143">
        <v>104610</v>
      </c>
      <c r="E143" t="str">
        <f>IF(Customer_analytics[[#This Row],[Income]]&lt;50000, "Low", IF(Customer_analytics[[#This Row],[Income]]&lt;100000, "Mid", "High"))</f>
        <v>High</v>
      </c>
      <c r="F143">
        <v>12</v>
      </c>
      <c r="G143">
        <v>7.11</v>
      </c>
      <c r="H143">
        <v>4.26</v>
      </c>
      <c r="I143" t="str">
        <f>IF(Customer_analytics[[#This Row],[TimeOnSite]]&lt;3, "Short Visit", IF(Customer_analytics[[#This Row],[TimeOnSite]]&lt;7, "Medium Visit", "Long Visit"))</f>
        <v>Medium Visit</v>
      </c>
      <c r="J143">
        <v>72</v>
      </c>
      <c r="K143">
        <v>6</v>
      </c>
      <c r="L143">
        <v>6</v>
      </c>
      <c r="M143">
        <v>2</v>
      </c>
      <c r="N143">
        <v>4305</v>
      </c>
      <c r="O143">
        <v>1</v>
      </c>
    </row>
    <row r="144" spans="1:15" x14ac:dyDescent="0.35">
      <c r="A144">
        <v>8458</v>
      </c>
      <c r="B144">
        <v>54</v>
      </c>
      <c r="C144" t="s">
        <v>21</v>
      </c>
      <c r="D144">
        <v>93410</v>
      </c>
      <c r="E144" t="str">
        <f>IF(Customer_analytics[[#This Row],[Income]]&lt;50000, "Low", IF(Customer_analytics[[#This Row],[Income]]&lt;100000, "Mid", "High"))</f>
        <v>Mid</v>
      </c>
      <c r="F144">
        <v>21</v>
      </c>
      <c r="G144">
        <v>1.27</v>
      </c>
      <c r="H144">
        <v>9.08</v>
      </c>
      <c r="I144" t="str">
        <f>IF(Customer_analytics[[#This Row],[TimeOnSite]]&lt;3, "Short Visit", IF(Customer_analytics[[#This Row],[TimeOnSite]]&lt;7, "Medium Visit", "Long Visit"))</f>
        <v>Long Visit</v>
      </c>
      <c r="J144">
        <v>74</v>
      </c>
      <c r="K144">
        <v>2</v>
      </c>
      <c r="L144">
        <v>8</v>
      </c>
      <c r="M144">
        <v>7</v>
      </c>
      <c r="N144">
        <v>3978</v>
      </c>
      <c r="O144">
        <v>1</v>
      </c>
    </row>
    <row r="145" spans="1:15" x14ac:dyDescent="0.35">
      <c r="A145">
        <v>8460</v>
      </c>
      <c r="B145">
        <v>25</v>
      </c>
      <c r="C145" t="s">
        <v>21</v>
      </c>
      <c r="D145">
        <v>59632</v>
      </c>
      <c r="E145" t="str">
        <f>IF(Customer_analytics[[#This Row],[Income]]&lt;50000, "Low", IF(Customer_analytics[[#This Row],[Income]]&lt;100000, "Mid", "High"))</f>
        <v>Mid</v>
      </c>
      <c r="F145">
        <v>47</v>
      </c>
      <c r="G145">
        <v>7.28</v>
      </c>
      <c r="H145">
        <v>8.31</v>
      </c>
      <c r="I145" t="str">
        <f>IF(Customer_analytics[[#This Row],[TimeOnSite]]&lt;3, "Short Visit", IF(Customer_analytics[[#This Row],[TimeOnSite]]&lt;7, "Medium Visit", "Long Visit"))</f>
        <v>Long Visit</v>
      </c>
      <c r="J145">
        <v>77</v>
      </c>
      <c r="K145">
        <v>18</v>
      </c>
      <c r="L145">
        <v>5</v>
      </c>
      <c r="M145">
        <v>4</v>
      </c>
      <c r="N145">
        <v>2616</v>
      </c>
      <c r="O145">
        <v>1</v>
      </c>
    </row>
    <row r="146" spans="1:15" x14ac:dyDescent="0.35">
      <c r="A146">
        <v>8461</v>
      </c>
      <c r="B146">
        <v>61</v>
      </c>
      <c r="C146" t="s">
        <v>27</v>
      </c>
      <c r="D146">
        <v>56790</v>
      </c>
      <c r="E146" t="str">
        <f>IF(Customer_analytics[[#This Row],[Income]]&lt;50000, "Low", IF(Customer_analytics[[#This Row],[Income]]&lt;100000, "Mid", "High"))</f>
        <v>Mid</v>
      </c>
      <c r="F146">
        <v>17</v>
      </c>
      <c r="G146">
        <v>1.5</v>
      </c>
      <c r="H146">
        <v>11.76</v>
      </c>
      <c r="I146" t="str">
        <f>IF(Customer_analytics[[#This Row],[TimeOnSite]]&lt;3, "Short Visit", IF(Customer_analytics[[#This Row],[TimeOnSite]]&lt;7, "Medium Visit", "Long Visit"))</f>
        <v>Long Visit</v>
      </c>
      <c r="J146">
        <v>37</v>
      </c>
      <c r="K146">
        <v>13</v>
      </c>
      <c r="L146">
        <v>7</v>
      </c>
      <c r="M146">
        <v>0</v>
      </c>
      <c r="N146">
        <v>3498</v>
      </c>
      <c r="O146">
        <v>1</v>
      </c>
    </row>
    <row r="147" spans="1:15" x14ac:dyDescent="0.35">
      <c r="A147">
        <v>8465</v>
      </c>
      <c r="B147">
        <v>21</v>
      </c>
      <c r="C147" t="s">
        <v>21</v>
      </c>
      <c r="D147">
        <v>50885</v>
      </c>
      <c r="E147" t="str">
        <f>IF(Customer_analytics[[#This Row],[Income]]&lt;50000, "Low", IF(Customer_analytics[[#This Row],[Income]]&lt;100000, "Mid", "High"))</f>
        <v>Mid</v>
      </c>
      <c r="F147">
        <v>32</v>
      </c>
      <c r="G147">
        <v>2.39</v>
      </c>
      <c r="H147">
        <v>8.15</v>
      </c>
      <c r="I147" t="str">
        <f>IF(Customer_analytics[[#This Row],[TimeOnSite]]&lt;3, "Short Visit", IF(Customer_analytics[[#This Row],[TimeOnSite]]&lt;7, "Medium Visit", "Long Visit"))</f>
        <v>Long Visit</v>
      </c>
      <c r="J147">
        <v>71</v>
      </c>
      <c r="K147">
        <v>4</v>
      </c>
      <c r="L147">
        <v>4</v>
      </c>
      <c r="M147">
        <v>4</v>
      </c>
      <c r="N147">
        <v>408</v>
      </c>
      <c r="O147">
        <v>1</v>
      </c>
    </row>
    <row r="148" spans="1:15" x14ac:dyDescent="0.35">
      <c r="A148">
        <v>8466</v>
      </c>
      <c r="B148">
        <v>23</v>
      </c>
      <c r="C148" t="s">
        <v>27</v>
      </c>
      <c r="D148">
        <v>85214</v>
      </c>
      <c r="E148" t="str">
        <f>IF(Customer_analytics[[#This Row],[Income]]&lt;50000, "Low", IF(Customer_analytics[[#This Row],[Income]]&lt;100000, "Mid", "High"))</f>
        <v>Mid</v>
      </c>
      <c r="F148">
        <v>45</v>
      </c>
      <c r="G148">
        <v>2.44</v>
      </c>
      <c r="H148">
        <v>2.93</v>
      </c>
      <c r="I148" t="str">
        <f>IF(Customer_analytics[[#This Row],[TimeOnSite]]&lt;3, "Short Visit", IF(Customer_analytics[[#This Row],[TimeOnSite]]&lt;7, "Medium Visit", "Long Visit"))</f>
        <v>Short Visit</v>
      </c>
      <c r="J148">
        <v>93</v>
      </c>
      <c r="K148">
        <v>5</v>
      </c>
      <c r="L148">
        <v>4</v>
      </c>
      <c r="M148">
        <v>2</v>
      </c>
      <c r="N148">
        <v>2849</v>
      </c>
      <c r="O148">
        <v>1</v>
      </c>
    </row>
    <row r="149" spans="1:15" x14ac:dyDescent="0.35">
      <c r="A149">
        <v>8468</v>
      </c>
      <c r="B149">
        <v>49</v>
      </c>
      <c r="C149" t="s">
        <v>21</v>
      </c>
      <c r="D149">
        <v>64870</v>
      </c>
      <c r="E149" t="str">
        <f>IF(Customer_analytics[[#This Row],[Income]]&lt;50000, "Low", IF(Customer_analytics[[#This Row],[Income]]&lt;100000, "Mid", "High"))</f>
        <v>Mid</v>
      </c>
      <c r="F149">
        <v>34</v>
      </c>
      <c r="G149">
        <v>2.54</v>
      </c>
      <c r="H149">
        <v>14.69</v>
      </c>
      <c r="I149" t="str">
        <f>IF(Customer_analytics[[#This Row],[TimeOnSite]]&lt;3, "Short Visit", IF(Customer_analytics[[#This Row],[TimeOnSite]]&lt;7, "Medium Visit", "Long Visit"))</f>
        <v>Long Visit</v>
      </c>
      <c r="J149">
        <v>64</v>
      </c>
      <c r="K149">
        <v>9</v>
      </c>
      <c r="L149">
        <v>0</v>
      </c>
      <c r="M149">
        <v>6</v>
      </c>
      <c r="N149">
        <v>68</v>
      </c>
      <c r="O149">
        <v>1</v>
      </c>
    </row>
    <row r="150" spans="1:15" x14ac:dyDescent="0.35">
      <c r="A150">
        <v>8469</v>
      </c>
      <c r="B150">
        <v>69</v>
      </c>
      <c r="C150" t="s">
        <v>21</v>
      </c>
      <c r="D150">
        <v>148217</v>
      </c>
      <c r="E150" t="str">
        <f>IF(Customer_analytics[[#This Row],[Income]]&lt;50000, "Low", IF(Customer_analytics[[#This Row],[Income]]&lt;100000, "Mid", "High"))</f>
        <v>High</v>
      </c>
      <c r="F150">
        <v>11</v>
      </c>
      <c r="G150">
        <v>1.54</v>
      </c>
      <c r="H150">
        <v>11.59</v>
      </c>
      <c r="I150" t="str">
        <f>IF(Customer_analytics[[#This Row],[TimeOnSite]]&lt;3, "Short Visit", IF(Customer_analytics[[#This Row],[TimeOnSite]]&lt;7, "Medium Visit", "Long Visit"))</f>
        <v>Long Visit</v>
      </c>
      <c r="J150">
        <v>88</v>
      </c>
      <c r="K150">
        <v>4</v>
      </c>
      <c r="L150">
        <v>2</v>
      </c>
      <c r="M150">
        <v>0</v>
      </c>
      <c r="N150">
        <v>3624</v>
      </c>
      <c r="O150">
        <v>0</v>
      </c>
    </row>
    <row r="151" spans="1:15" x14ac:dyDescent="0.35">
      <c r="A151">
        <v>8471</v>
      </c>
      <c r="B151">
        <v>64</v>
      </c>
      <c r="C151" t="s">
        <v>27</v>
      </c>
      <c r="D151">
        <v>129414</v>
      </c>
      <c r="E151" t="str">
        <f>IF(Customer_analytics[[#This Row],[Income]]&lt;50000, "Low", IF(Customer_analytics[[#This Row],[Income]]&lt;100000, "Mid", "High"))</f>
        <v>High</v>
      </c>
      <c r="F151">
        <v>33</v>
      </c>
      <c r="G151">
        <v>1.35</v>
      </c>
      <c r="H151">
        <v>13.03</v>
      </c>
      <c r="I151" t="str">
        <f>IF(Customer_analytics[[#This Row],[TimeOnSite]]&lt;3, "Short Visit", IF(Customer_analytics[[#This Row],[TimeOnSite]]&lt;7, "Medium Visit", "Long Visit"))</f>
        <v>Long Visit</v>
      </c>
      <c r="J151">
        <v>26</v>
      </c>
      <c r="K151">
        <v>6</v>
      </c>
      <c r="L151">
        <v>5</v>
      </c>
      <c r="M151">
        <v>4</v>
      </c>
      <c r="N151">
        <v>3325</v>
      </c>
      <c r="O151">
        <v>1</v>
      </c>
    </row>
    <row r="152" spans="1:15" x14ac:dyDescent="0.35">
      <c r="A152">
        <v>8472</v>
      </c>
      <c r="B152">
        <v>52</v>
      </c>
      <c r="C152" t="s">
        <v>21</v>
      </c>
      <c r="D152">
        <v>25171</v>
      </c>
      <c r="E152" t="str">
        <f>IF(Customer_analytics[[#This Row],[Income]]&lt;50000, "Low", IF(Customer_analytics[[#This Row],[Income]]&lt;100000, "Mid", "High"))</f>
        <v>Low</v>
      </c>
      <c r="F152">
        <v>11</v>
      </c>
      <c r="G152">
        <v>6.98</v>
      </c>
      <c r="H152">
        <v>13.49</v>
      </c>
      <c r="I152" t="str">
        <f>IF(Customer_analytics[[#This Row],[TimeOnSite]]&lt;3, "Short Visit", IF(Customer_analytics[[#This Row],[TimeOnSite]]&lt;7, "Medium Visit", "Long Visit"))</f>
        <v>Long Visit</v>
      </c>
      <c r="J152">
        <v>24</v>
      </c>
      <c r="K152">
        <v>9</v>
      </c>
      <c r="L152">
        <v>3</v>
      </c>
      <c r="M152">
        <v>6</v>
      </c>
      <c r="N152">
        <v>2603</v>
      </c>
      <c r="O152">
        <v>1</v>
      </c>
    </row>
    <row r="153" spans="1:15" x14ac:dyDescent="0.35">
      <c r="A153">
        <v>8474</v>
      </c>
      <c r="B153">
        <v>69</v>
      </c>
      <c r="C153" t="s">
        <v>27</v>
      </c>
      <c r="D153">
        <v>38077</v>
      </c>
      <c r="E153" t="str">
        <f>IF(Customer_analytics[[#This Row],[Income]]&lt;50000, "Low", IF(Customer_analytics[[#This Row],[Income]]&lt;100000, "Mid", "High"))</f>
        <v>Low</v>
      </c>
      <c r="F153">
        <v>31</v>
      </c>
      <c r="G153">
        <v>1.34</v>
      </c>
      <c r="H153">
        <v>1.27</v>
      </c>
      <c r="I153" t="str">
        <f>IF(Customer_analytics[[#This Row],[TimeOnSite]]&lt;3, "Short Visit", IF(Customer_analytics[[#This Row],[TimeOnSite]]&lt;7, "Medium Visit", "Long Visit"))</f>
        <v>Short Visit</v>
      </c>
      <c r="J153">
        <v>67</v>
      </c>
      <c r="K153">
        <v>16</v>
      </c>
      <c r="L153">
        <v>9</v>
      </c>
      <c r="M153">
        <v>7</v>
      </c>
      <c r="N153">
        <v>3563</v>
      </c>
      <c r="O153">
        <v>1</v>
      </c>
    </row>
    <row r="154" spans="1:15" x14ac:dyDescent="0.35">
      <c r="A154">
        <v>8481</v>
      </c>
      <c r="B154">
        <v>34</v>
      </c>
      <c r="C154" t="s">
        <v>21</v>
      </c>
      <c r="D154">
        <v>29754</v>
      </c>
      <c r="E154" t="str">
        <f>IF(Customer_analytics[[#This Row],[Income]]&lt;50000, "Low", IF(Customer_analytics[[#This Row],[Income]]&lt;100000, "Mid", "High"))</f>
        <v>Low</v>
      </c>
      <c r="F154">
        <v>4</v>
      </c>
      <c r="G154">
        <v>1.59</v>
      </c>
      <c r="H154">
        <v>4.74</v>
      </c>
      <c r="I154" t="str">
        <f>IF(Customer_analytics[[#This Row],[TimeOnSite]]&lt;3, "Short Visit", IF(Customer_analytics[[#This Row],[TimeOnSite]]&lt;7, "Medium Visit", "Long Visit"))</f>
        <v>Medium Visit</v>
      </c>
      <c r="J154">
        <v>75</v>
      </c>
      <c r="K154">
        <v>5</v>
      </c>
      <c r="L154">
        <v>4</v>
      </c>
      <c r="M154">
        <v>8</v>
      </c>
      <c r="N154">
        <v>4935</v>
      </c>
      <c r="O154">
        <v>1</v>
      </c>
    </row>
    <row r="155" spans="1:15" x14ac:dyDescent="0.35">
      <c r="A155">
        <v>8483</v>
      </c>
      <c r="B155">
        <v>45</v>
      </c>
      <c r="C155" t="s">
        <v>21</v>
      </c>
      <c r="D155">
        <v>27048</v>
      </c>
      <c r="E155" t="str">
        <f>IF(Customer_analytics[[#This Row],[Income]]&lt;50000, "Low", IF(Customer_analytics[[#This Row],[Income]]&lt;100000, "Mid", "High"))</f>
        <v>Low</v>
      </c>
      <c r="F155">
        <v>5</v>
      </c>
      <c r="G155">
        <v>9.73</v>
      </c>
      <c r="H155">
        <v>7.91</v>
      </c>
      <c r="I155" t="str">
        <f>IF(Customer_analytics[[#This Row],[TimeOnSite]]&lt;3, "Short Visit", IF(Customer_analytics[[#This Row],[TimeOnSite]]&lt;7, "Medium Visit", "Long Visit"))</f>
        <v>Long Visit</v>
      </c>
      <c r="J155">
        <v>78</v>
      </c>
      <c r="K155">
        <v>4</v>
      </c>
      <c r="L155">
        <v>3</v>
      </c>
      <c r="M155">
        <v>4</v>
      </c>
      <c r="N155">
        <v>3284</v>
      </c>
      <c r="O155">
        <v>1</v>
      </c>
    </row>
    <row r="156" spans="1:15" x14ac:dyDescent="0.35">
      <c r="A156">
        <v>8484</v>
      </c>
      <c r="B156">
        <v>43</v>
      </c>
      <c r="C156" t="s">
        <v>21</v>
      </c>
      <c r="D156">
        <v>42568</v>
      </c>
      <c r="E156" t="str">
        <f>IF(Customer_analytics[[#This Row],[Income]]&lt;50000, "Low", IF(Customer_analytics[[#This Row],[Income]]&lt;100000, "Mid", "High"))</f>
        <v>Low</v>
      </c>
      <c r="F156">
        <v>18</v>
      </c>
      <c r="G156">
        <v>1.49</v>
      </c>
      <c r="H156">
        <v>7.36</v>
      </c>
      <c r="I156" t="str">
        <f>IF(Customer_analytics[[#This Row],[TimeOnSite]]&lt;3, "Short Visit", IF(Customer_analytics[[#This Row],[TimeOnSite]]&lt;7, "Medium Visit", "Long Visit"))</f>
        <v>Long Visit</v>
      </c>
      <c r="J156">
        <v>56</v>
      </c>
      <c r="K156">
        <v>15</v>
      </c>
      <c r="L156">
        <v>8</v>
      </c>
      <c r="M156">
        <v>4</v>
      </c>
      <c r="N156">
        <v>1194</v>
      </c>
      <c r="O156">
        <v>1</v>
      </c>
    </row>
    <row r="157" spans="1:15" x14ac:dyDescent="0.35">
      <c r="A157">
        <v>8486</v>
      </c>
      <c r="B157">
        <v>43</v>
      </c>
      <c r="C157" t="s">
        <v>21</v>
      </c>
      <c r="D157">
        <v>95019</v>
      </c>
      <c r="E157" t="str">
        <f>IF(Customer_analytics[[#This Row],[Income]]&lt;50000, "Low", IF(Customer_analytics[[#This Row],[Income]]&lt;100000, "Mid", "High"))</f>
        <v>Mid</v>
      </c>
      <c r="F157">
        <v>39</v>
      </c>
      <c r="G157">
        <v>7.05</v>
      </c>
      <c r="H157">
        <v>8.33</v>
      </c>
      <c r="I157" t="str">
        <f>IF(Customer_analytics[[#This Row],[TimeOnSite]]&lt;3, "Short Visit", IF(Customer_analytics[[#This Row],[TimeOnSite]]&lt;7, "Medium Visit", "Long Visit"))</f>
        <v>Long Visit</v>
      </c>
      <c r="J157">
        <v>68</v>
      </c>
      <c r="K157">
        <v>15</v>
      </c>
      <c r="L157">
        <v>4</v>
      </c>
      <c r="M157">
        <v>8</v>
      </c>
      <c r="N157">
        <v>2270</v>
      </c>
      <c r="O157">
        <v>1</v>
      </c>
    </row>
    <row r="158" spans="1:15" x14ac:dyDescent="0.35">
      <c r="A158">
        <v>8494</v>
      </c>
      <c r="B158">
        <v>49</v>
      </c>
      <c r="C158" t="s">
        <v>27</v>
      </c>
      <c r="D158">
        <v>53746</v>
      </c>
      <c r="E158" t="str">
        <f>IF(Customer_analytics[[#This Row],[Income]]&lt;50000, "Low", IF(Customer_analytics[[#This Row],[Income]]&lt;100000, "Mid", "High"))</f>
        <v>Mid</v>
      </c>
      <c r="F158">
        <v>42</v>
      </c>
      <c r="G158">
        <v>2.31</v>
      </c>
      <c r="H158">
        <v>13.19</v>
      </c>
      <c r="I158" t="str">
        <f>IF(Customer_analytics[[#This Row],[TimeOnSite]]&lt;3, "Short Visit", IF(Customer_analytics[[#This Row],[TimeOnSite]]&lt;7, "Medium Visit", "Long Visit"))</f>
        <v>Long Visit</v>
      </c>
      <c r="J158">
        <v>93</v>
      </c>
      <c r="K158">
        <v>19</v>
      </c>
      <c r="L158">
        <v>7</v>
      </c>
      <c r="M158">
        <v>1</v>
      </c>
      <c r="N158">
        <v>814</v>
      </c>
      <c r="O158">
        <v>1</v>
      </c>
    </row>
    <row r="159" spans="1:15" x14ac:dyDescent="0.35">
      <c r="A159">
        <v>8500</v>
      </c>
      <c r="B159">
        <v>33</v>
      </c>
      <c r="C159" t="s">
        <v>21</v>
      </c>
      <c r="D159">
        <v>115387</v>
      </c>
      <c r="E159" t="str">
        <f>IF(Customer_analytics[[#This Row],[Income]]&lt;50000, "Low", IF(Customer_analytics[[#This Row],[Income]]&lt;100000, "Mid", "High"))</f>
        <v>High</v>
      </c>
      <c r="F159">
        <v>28</v>
      </c>
      <c r="G159">
        <v>7.54</v>
      </c>
      <c r="H159">
        <v>4.62</v>
      </c>
      <c r="I159" t="str">
        <f>IF(Customer_analytics[[#This Row],[TimeOnSite]]&lt;3, "Short Visit", IF(Customer_analytics[[#This Row],[TimeOnSite]]&lt;7, "Medium Visit", "Long Visit"))</f>
        <v>Medium Visit</v>
      </c>
      <c r="J159">
        <v>28</v>
      </c>
      <c r="K159">
        <v>7</v>
      </c>
      <c r="L159">
        <v>7</v>
      </c>
      <c r="M159">
        <v>3</v>
      </c>
      <c r="N159">
        <v>3709</v>
      </c>
      <c r="O159">
        <v>1</v>
      </c>
    </row>
    <row r="160" spans="1:15" x14ac:dyDescent="0.35">
      <c r="A160">
        <v>8501</v>
      </c>
      <c r="B160">
        <v>56</v>
      </c>
      <c r="C160" t="s">
        <v>27</v>
      </c>
      <c r="D160">
        <v>48756</v>
      </c>
      <c r="E160" t="str">
        <f>IF(Customer_analytics[[#This Row],[Income]]&lt;50000, "Low", IF(Customer_analytics[[#This Row],[Income]]&lt;100000, "Mid", "High"))</f>
        <v>Low</v>
      </c>
      <c r="F160">
        <v>1</v>
      </c>
      <c r="G160">
        <v>1.39</v>
      </c>
      <c r="H160">
        <v>12.34</v>
      </c>
      <c r="I160" t="str">
        <f>IF(Customer_analytics[[#This Row],[TimeOnSite]]&lt;3, "Short Visit", IF(Customer_analytics[[#This Row],[TimeOnSite]]&lt;7, "Medium Visit", "Long Visit"))</f>
        <v>Long Visit</v>
      </c>
      <c r="J160">
        <v>6</v>
      </c>
      <c r="K160">
        <v>12</v>
      </c>
      <c r="L160">
        <v>0</v>
      </c>
      <c r="M160">
        <v>9</v>
      </c>
      <c r="N160">
        <v>1633</v>
      </c>
      <c r="O160">
        <v>0</v>
      </c>
    </row>
    <row r="161" spans="1:15" x14ac:dyDescent="0.35">
      <c r="A161">
        <v>8502</v>
      </c>
      <c r="B161">
        <v>22</v>
      </c>
      <c r="C161" t="s">
        <v>27</v>
      </c>
      <c r="D161">
        <v>83175</v>
      </c>
      <c r="E161" t="str">
        <f>IF(Customer_analytics[[#This Row],[Income]]&lt;50000, "Low", IF(Customer_analytics[[#This Row],[Income]]&lt;100000, "Mid", "High"))</f>
        <v>Mid</v>
      </c>
      <c r="F161">
        <v>29</v>
      </c>
      <c r="G161">
        <v>7.86</v>
      </c>
      <c r="H161">
        <v>4.34</v>
      </c>
      <c r="I161" t="str">
        <f>IF(Customer_analytics[[#This Row],[TimeOnSite]]&lt;3, "Short Visit", IF(Customer_analytics[[#This Row],[TimeOnSite]]&lt;7, "Medium Visit", "Long Visit"))</f>
        <v>Medium Visit</v>
      </c>
      <c r="J161">
        <v>48</v>
      </c>
      <c r="K161">
        <v>5</v>
      </c>
      <c r="L161">
        <v>4</v>
      </c>
      <c r="M161">
        <v>3</v>
      </c>
      <c r="N161">
        <v>2097</v>
      </c>
      <c r="O161">
        <v>1</v>
      </c>
    </row>
    <row r="162" spans="1:15" x14ac:dyDescent="0.35">
      <c r="A162">
        <v>8503</v>
      </c>
      <c r="B162">
        <v>39</v>
      </c>
      <c r="C162" t="s">
        <v>21</v>
      </c>
      <c r="D162">
        <v>74281</v>
      </c>
      <c r="E162" t="str">
        <f>IF(Customer_analytics[[#This Row],[Income]]&lt;50000, "Low", IF(Customer_analytics[[#This Row],[Income]]&lt;100000, "Mid", "High"))</f>
        <v>Mid</v>
      </c>
      <c r="F162">
        <v>38</v>
      </c>
      <c r="G162">
        <v>3.53</v>
      </c>
      <c r="H162">
        <v>4.24</v>
      </c>
      <c r="I162" t="str">
        <f>IF(Customer_analytics[[#This Row],[TimeOnSite]]&lt;3, "Short Visit", IF(Customer_analytics[[#This Row],[TimeOnSite]]&lt;7, "Medium Visit", "Long Visit"))</f>
        <v>Medium Visit</v>
      </c>
      <c r="J162">
        <v>64</v>
      </c>
      <c r="K162">
        <v>8</v>
      </c>
      <c r="L162">
        <v>2</v>
      </c>
      <c r="M162">
        <v>2</v>
      </c>
      <c r="N162">
        <v>2738</v>
      </c>
      <c r="O162">
        <v>1</v>
      </c>
    </row>
    <row r="163" spans="1:15" x14ac:dyDescent="0.35">
      <c r="A163">
        <v>8507</v>
      </c>
      <c r="B163">
        <v>43</v>
      </c>
      <c r="C163" t="s">
        <v>27</v>
      </c>
      <c r="D163">
        <v>106728</v>
      </c>
      <c r="E163" t="str">
        <f>IF(Customer_analytics[[#This Row],[Income]]&lt;50000, "Low", IF(Customer_analytics[[#This Row],[Income]]&lt;100000, "Mid", "High"))</f>
        <v>High</v>
      </c>
      <c r="F163">
        <v>19</v>
      </c>
      <c r="G163">
        <v>6.71</v>
      </c>
      <c r="H163">
        <v>9.5</v>
      </c>
      <c r="I163" t="str">
        <f>IF(Customer_analytics[[#This Row],[TimeOnSite]]&lt;3, "Short Visit", IF(Customer_analytics[[#This Row],[TimeOnSite]]&lt;7, "Medium Visit", "Long Visit"))</f>
        <v>Long Visit</v>
      </c>
      <c r="J163">
        <v>98</v>
      </c>
      <c r="K163">
        <v>11</v>
      </c>
      <c r="L163">
        <v>0</v>
      </c>
      <c r="M163">
        <v>4</v>
      </c>
      <c r="N163">
        <v>424</v>
      </c>
      <c r="O163">
        <v>1</v>
      </c>
    </row>
    <row r="164" spans="1:15" x14ac:dyDescent="0.35">
      <c r="A164">
        <v>8509</v>
      </c>
      <c r="B164">
        <v>68</v>
      </c>
      <c r="C164" t="s">
        <v>21</v>
      </c>
      <c r="D164">
        <v>38839</v>
      </c>
      <c r="E164" t="str">
        <f>IF(Customer_analytics[[#This Row],[Income]]&lt;50000, "Low", IF(Customer_analytics[[#This Row],[Income]]&lt;100000, "Mid", "High"))</f>
        <v>Low</v>
      </c>
      <c r="F164">
        <v>18</v>
      </c>
      <c r="G164">
        <v>2.6</v>
      </c>
      <c r="H164">
        <v>10.06</v>
      </c>
      <c r="I164" t="str">
        <f>IF(Customer_analytics[[#This Row],[TimeOnSite]]&lt;3, "Short Visit", IF(Customer_analytics[[#This Row],[TimeOnSite]]&lt;7, "Medium Visit", "Long Visit"))</f>
        <v>Long Visit</v>
      </c>
      <c r="J164">
        <v>84</v>
      </c>
      <c r="K164">
        <v>18</v>
      </c>
      <c r="L164">
        <v>5</v>
      </c>
      <c r="M164">
        <v>6</v>
      </c>
      <c r="N164">
        <v>4022</v>
      </c>
      <c r="O164">
        <v>1</v>
      </c>
    </row>
    <row r="165" spans="1:15" x14ac:dyDescent="0.35">
      <c r="A165">
        <v>8510</v>
      </c>
      <c r="B165">
        <v>54</v>
      </c>
      <c r="C165" t="s">
        <v>27</v>
      </c>
      <c r="D165">
        <v>47410</v>
      </c>
      <c r="E165" t="str">
        <f>IF(Customer_analytics[[#This Row],[Income]]&lt;50000, "Low", IF(Customer_analytics[[#This Row],[Income]]&lt;100000, "Mid", "High"))</f>
        <v>Low</v>
      </c>
      <c r="F165">
        <v>5</v>
      </c>
      <c r="G165">
        <v>2.88</v>
      </c>
      <c r="H165">
        <v>14.23</v>
      </c>
      <c r="I165" t="str">
        <f>IF(Customer_analytics[[#This Row],[TimeOnSite]]&lt;3, "Short Visit", IF(Customer_analytics[[#This Row],[TimeOnSite]]&lt;7, "Medium Visit", "Long Visit"))</f>
        <v>Long Visit</v>
      </c>
      <c r="J165">
        <v>12</v>
      </c>
      <c r="K165">
        <v>18</v>
      </c>
      <c r="L165">
        <v>5</v>
      </c>
      <c r="M165">
        <v>4</v>
      </c>
      <c r="N165">
        <v>3790</v>
      </c>
      <c r="O165">
        <v>1</v>
      </c>
    </row>
    <row r="166" spans="1:15" x14ac:dyDescent="0.35">
      <c r="A166">
        <v>8514</v>
      </c>
      <c r="B166">
        <v>45</v>
      </c>
      <c r="C166" t="s">
        <v>21</v>
      </c>
      <c r="D166">
        <v>137954</v>
      </c>
      <c r="E166" t="str">
        <f>IF(Customer_analytics[[#This Row],[Income]]&lt;50000, "Low", IF(Customer_analytics[[#This Row],[Income]]&lt;100000, "Mid", "High"))</f>
        <v>High</v>
      </c>
      <c r="F166">
        <v>32</v>
      </c>
      <c r="G166">
        <v>3</v>
      </c>
      <c r="H166">
        <v>5.0599999999999996</v>
      </c>
      <c r="I166" t="str">
        <f>IF(Customer_analytics[[#This Row],[TimeOnSite]]&lt;3, "Short Visit", IF(Customer_analytics[[#This Row],[TimeOnSite]]&lt;7, "Medium Visit", "Long Visit"))</f>
        <v>Medium Visit</v>
      </c>
      <c r="J166">
        <v>72</v>
      </c>
      <c r="K166">
        <v>14</v>
      </c>
      <c r="L166">
        <v>4</v>
      </c>
      <c r="M166">
        <v>9</v>
      </c>
      <c r="N166">
        <v>2406</v>
      </c>
      <c r="O166">
        <v>1</v>
      </c>
    </row>
    <row r="167" spans="1:15" x14ac:dyDescent="0.35">
      <c r="A167">
        <v>8520</v>
      </c>
      <c r="B167">
        <v>69</v>
      </c>
      <c r="C167" t="s">
        <v>21</v>
      </c>
      <c r="D167">
        <v>41637</v>
      </c>
      <c r="E167" t="str">
        <f>IF(Customer_analytics[[#This Row],[Income]]&lt;50000, "Low", IF(Customer_analytics[[#This Row],[Income]]&lt;100000, "Mid", "High"))</f>
        <v>Low</v>
      </c>
      <c r="F167">
        <v>0</v>
      </c>
      <c r="G167">
        <v>5.65</v>
      </c>
      <c r="H167">
        <v>1.65</v>
      </c>
      <c r="I167" t="str">
        <f>IF(Customer_analytics[[#This Row],[TimeOnSite]]&lt;3, "Short Visit", IF(Customer_analytics[[#This Row],[TimeOnSite]]&lt;7, "Medium Visit", "Long Visit"))</f>
        <v>Short Visit</v>
      </c>
      <c r="J167">
        <v>58</v>
      </c>
      <c r="K167">
        <v>12</v>
      </c>
      <c r="L167">
        <v>4</v>
      </c>
      <c r="M167">
        <v>3</v>
      </c>
      <c r="N167">
        <v>677</v>
      </c>
      <c r="O167">
        <v>1</v>
      </c>
    </row>
    <row r="168" spans="1:15" x14ac:dyDescent="0.35">
      <c r="A168">
        <v>8523</v>
      </c>
      <c r="B168">
        <v>33</v>
      </c>
      <c r="C168" t="s">
        <v>21</v>
      </c>
      <c r="D168">
        <v>115017</v>
      </c>
      <c r="E168" t="str">
        <f>IF(Customer_analytics[[#This Row],[Income]]&lt;50000, "Low", IF(Customer_analytics[[#This Row],[Income]]&lt;100000, "Mid", "High"))</f>
        <v>High</v>
      </c>
      <c r="F168">
        <v>21</v>
      </c>
      <c r="G168">
        <v>6.6</v>
      </c>
      <c r="H168">
        <v>14.46</v>
      </c>
      <c r="I168" t="str">
        <f>IF(Customer_analytics[[#This Row],[TimeOnSite]]&lt;3, "Short Visit", IF(Customer_analytics[[#This Row],[TimeOnSite]]&lt;7, "Medium Visit", "Long Visit"))</f>
        <v>Long Visit</v>
      </c>
      <c r="J168">
        <v>5</v>
      </c>
      <c r="K168">
        <v>14</v>
      </c>
      <c r="L168">
        <v>6</v>
      </c>
      <c r="M168">
        <v>7</v>
      </c>
      <c r="N168">
        <v>521</v>
      </c>
      <c r="O168">
        <v>1</v>
      </c>
    </row>
    <row r="169" spans="1:15" x14ac:dyDescent="0.35">
      <c r="A169">
        <v>8525</v>
      </c>
      <c r="B169">
        <v>43</v>
      </c>
      <c r="C169" t="s">
        <v>27</v>
      </c>
      <c r="D169">
        <v>22589</v>
      </c>
      <c r="E169" t="str">
        <f>IF(Customer_analytics[[#This Row],[Income]]&lt;50000, "Low", IF(Customer_analytics[[#This Row],[Income]]&lt;100000, "Mid", "High"))</f>
        <v>Low</v>
      </c>
      <c r="F169">
        <v>28</v>
      </c>
      <c r="G169">
        <v>8.64</v>
      </c>
      <c r="H169">
        <v>10.58</v>
      </c>
      <c r="I169" t="str">
        <f>IF(Customer_analytics[[#This Row],[TimeOnSite]]&lt;3, "Short Visit", IF(Customer_analytics[[#This Row],[TimeOnSite]]&lt;7, "Medium Visit", "Long Visit"))</f>
        <v>Long Visit</v>
      </c>
      <c r="J169">
        <v>30</v>
      </c>
      <c r="K169">
        <v>8</v>
      </c>
      <c r="L169">
        <v>1</v>
      </c>
      <c r="M169">
        <v>5</v>
      </c>
      <c r="N169">
        <v>1432</v>
      </c>
      <c r="O169">
        <v>1</v>
      </c>
    </row>
    <row r="170" spans="1:15" x14ac:dyDescent="0.35">
      <c r="A170">
        <v>8526</v>
      </c>
      <c r="B170">
        <v>65</v>
      </c>
      <c r="C170" t="s">
        <v>21</v>
      </c>
      <c r="D170">
        <v>43560</v>
      </c>
      <c r="E170" t="str">
        <f>IF(Customer_analytics[[#This Row],[Income]]&lt;50000, "Low", IF(Customer_analytics[[#This Row],[Income]]&lt;100000, "Mid", "High"))</f>
        <v>Low</v>
      </c>
      <c r="F170">
        <v>35</v>
      </c>
      <c r="G170">
        <v>4.41</v>
      </c>
      <c r="H170">
        <v>8.48</v>
      </c>
      <c r="I170" t="str">
        <f>IF(Customer_analytics[[#This Row],[TimeOnSite]]&lt;3, "Short Visit", IF(Customer_analytics[[#This Row],[TimeOnSite]]&lt;7, "Medium Visit", "Long Visit"))</f>
        <v>Long Visit</v>
      </c>
      <c r="J170">
        <v>17</v>
      </c>
      <c r="K170">
        <v>16</v>
      </c>
      <c r="L170">
        <v>1</v>
      </c>
      <c r="M170">
        <v>7</v>
      </c>
      <c r="N170">
        <v>2515</v>
      </c>
      <c r="O170">
        <v>1</v>
      </c>
    </row>
    <row r="171" spans="1:15" x14ac:dyDescent="0.35">
      <c r="A171">
        <v>8528</v>
      </c>
      <c r="B171">
        <v>56</v>
      </c>
      <c r="C171" t="s">
        <v>27</v>
      </c>
      <c r="D171">
        <v>20169</v>
      </c>
      <c r="E171" t="str">
        <f>IF(Customer_analytics[[#This Row],[Income]]&lt;50000, "Low", IF(Customer_analytics[[#This Row],[Income]]&lt;100000, "Mid", "High"))</f>
        <v>Low</v>
      </c>
      <c r="F171">
        <v>32</v>
      </c>
      <c r="G171">
        <v>2.4700000000000002</v>
      </c>
      <c r="H171">
        <v>2.23</v>
      </c>
      <c r="I171" t="str">
        <f>IF(Customer_analytics[[#This Row],[TimeOnSite]]&lt;3, "Short Visit", IF(Customer_analytics[[#This Row],[TimeOnSite]]&lt;7, "Medium Visit", "Long Visit"))</f>
        <v>Short Visit</v>
      </c>
      <c r="J171">
        <v>2</v>
      </c>
      <c r="K171">
        <v>9</v>
      </c>
      <c r="L171">
        <v>5</v>
      </c>
      <c r="M171">
        <v>2</v>
      </c>
      <c r="N171">
        <v>50</v>
      </c>
      <c r="O171">
        <v>1</v>
      </c>
    </row>
    <row r="172" spans="1:15" x14ac:dyDescent="0.35">
      <c r="A172">
        <v>8529</v>
      </c>
      <c r="B172">
        <v>53</v>
      </c>
      <c r="C172" t="s">
        <v>21</v>
      </c>
      <c r="D172">
        <v>112449</v>
      </c>
      <c r="E172" t="str">
        <f>IF(Customer_analytics[[#This Row],[Income]]&lt;50000, "Low", IF(Customer_analytics[[#This Row],[Income]]&lt;100000, "Mid", "High"))</f>
        <v>High</v>
      </c>
      <c r="F172">
        <v>38</v>
      </c>
      <c r="G172">
        <v>1.45</v>
      </c>
      <c r="H172">
        <v>2.27</v>
      </c>
      <c r="I172" t="str">
        <f>IF(Customer_analytics[[#This Row],[TimeOnSite]]&lt;3, "Short Visit", IF(Customer_analytics[[#This Row],[TimeOnSite]]&lt;7, "Medium Visit", "Long Visit"))</f>
        <v>Short Visit</v>
      </c>
      <c r="J172">
        <v>70</v>
      </c>
      <c r="K172">
        <v>8</v>
      </c>
      <c r="L172">
        <v>1</v>
      </c>
      <c r="M172">
        <v>8</v>
      </c>
      <c r="N172">
        <v>4385</v>
      </c>
      <c r="O172">
        <v>1</v>
      </c>
    </row>
    <row r="173" spans="1:15" x14ac:dyDescent="0.35">
      <c r="A173">
        <v>8530</v>
      </c>
      <c r="B173">
        <v>50</v>
      </c>
      <c r="C173" t="s">
        <v>21</v>
      </c>
      <c r="D173">
        <v>23239</v>
      </c>
      <c r="E173" t="str">
        <f>IF(Customer_analytics[[#This Row],[Income]]&lt;50000, "Low", IF(Customer_analytics[[#This Row],[Income]]&lt;100000, "Mid", "High"))</f>
        <v>Low</v>
      </c>
      <c r="F173">
        <v>13</v>
      </c>
      <c r="G173">
        <v>2.59</v>
      </c>
      <c r="H173">
        <v>12.43</v>
      </c>
      <c r="I173" t="str">
        <f>IF(Customer_analytics[[#This Row],[TimeOnSite]]&lt;3, "Short Visit", IF(Customer_analytics[[#This Row],[TimeOnSite]]&lt;7, "Medium Visit", "Long Visit"))</f>
        <v>Long Visit</v>
      </c>
      <c r="J173">
        <v>25</v>
      </c>
      <c r="K173">
        <v>19</v>
      </c>
      <c r="L173">
        <v>4</v>
      </c>
      <c r="M173">
        <v>1</v>
      </c>
      <c r="N173">
        <v>67</v>
      </c>
      <c r="O173">
        <v>1</v>
      </c>
    </row>
    <row r="174" spans="1:15" x14ac:dyDescent="0.35">
      <c r="A174">
        <v>8538</v>
      </c>
      <c r="B174">
        <v>69</v>
      </c>
      <c r="C174" t="s">
        <v>27</v>
      </c>
      <c r="D174">
        <v>141566</v>
      </c>
      <c r="E174" t="str">
        <f>IF(Customer_analytics[[#This Row],[Income]]&lt;50000, "Low", IF(Customer_analytics[[#This Row],[Income]]&lt;100000, "Mid", "High"))</f>
        <v>High</v>
      </c>
      <c r="F174">
        <v>4</v>
      </c>
      <c r="G174">
        <v>5.42</v>
      </c>
      <c r="H174">
        <v>11.45</v>
      </c>
      <c r="I174" t="str">
        <f>IF(Customer_analytics[[#This Row],[TimeOnSite]]&lt;3, "Short Visit", IF(Customer_analytics[[#This Row],[TimeOnSite]]&lt;7, "Medium Visit", "Long Visit"))</f>
        <v>Long Visit</v>
      </c>
      <c r="J174">
        <v>78</v>
      </c>
      <c r="K174">
        <v>9</v>
      </c>
      <c r="L174">
        <v>6</v>
      </c>
      <c r="M174">
        <v>1</v>
      </c>
      <c r="N174">
        <v>4361</v>
      </c>
      <c r="O174">
        <v>1</v>
      </c>
    </row>
    <row r="175" spans="1:15" x14ac:dyDescent="0.35">
      <c r="A175">
        <v>8541</v>
      </c>
      <c r="B175">
        <v>36</v>
      </c>
      <c r="C175" t="s">
        <v>27</v>
      </c>
      <c r="D175">
        <v>59612</v>
      </c>
      <c r="E175" t="str">
        <f>IF(Customer_analytics[[#This Row],[Income]]&lt;50000, "Low", IF(Customer_analytics[[#This Row],[Income]]&lt;100000, "Mid", "High"))</f>
        <v>Mid</v>
      </c>
      <c r="F175">
        <v>45</v>
      </c>
      <c r="G175">
        <v>1.4</v>
      </c>
      <c r="H175">
        <v>13.75</v>
      </c>
      <c r="I175" t="str">
        <f>IF(Customer_analytics[[#This Row],[TimeOnSite]]&lt;3, "Short Visit", IF(Customer_analytics[[#This Row],[TimeOnSite]]&lt;7, "Medium Visit", "Long Visit"))</f>
        <v>Long Visit</v>
      </c>
      <c r="J175">
        <v>46</v>
      </c>
      <c r="K175">
        <v>18</v>
      </c>
      <c r="L175">
        <v>1</v>
      </c>
      <c r="M175">
        <v>6</v>
      </c>
      <c r="N175">
        <v>3336</v>
      </c>
      <c r="O175">
        <v>1</v>
      </c>
    </row>
    <row r="176" spans="1:15" x14ac:dyDescent="0.35">
      <c r="A176">
        <v>8544</v>
      </c>
      <c r="B176">
        <v>22</v>
      </c>
      <c r="C176" t="s">
        <v>27</v>
      </c>
      <c r="D176">
        <v>140877</v>
      </c>
      <c r="E176" t="str">
        <f>IF(Customer_analytics[[#This Row],[Income]]&lt;50000, "Low", IF(Customer_analytics[[#This Row],[Income]]&lt;100000, "Mid", "High"))</f>
        <v>High</v>
      </c>
      <c r="F176">
        <v>47</v>
      </c>
      <c r="G176">
        <v>7.18</v>
      </c>
      <c r="H176">
        <v>12.57</v>
      </c>
      <c r="I176" t="str">
        <f>IF(Customer_analytics[[#This Row],[TimeOnSite]]&lt;3, "Short Visit", IF(Customer_analytics[[#This Row],[TimeOnSite]]&lt;7, "Medium Visit", "Long Visit"))</f>
        <v>Long Visit</v>
      </c>
      <c r="J176">
        <v>95</v>
      </c>
      <c r="K176">
        <v>16</v>
      </c>
      <c r="L176">
        <v>7</v>
      </c>
      <c r="M176">
        <v>8</v>
      </c>
      <c r="N176">
        <v>4209</v>
      </c>
      <c r="O176">
        <v>1</v>
      </c>
    </row>
    <row r="177" spans="1:15" x14ac:dyDescent="0.35">
      <c r="A177">
        <v>8545</v>
      </c>
      <c r="B177">
        <v>62</v>
      </c>
      <c r="C177" t="s">
        <v>21</v>
      </c>
      <c r="D177">
        <v>122269</v>
      </c>
      <c r="E177" t="str">
        <f>IF(Customer_analytics[[#This Row],[Income]]&lt;50000, "Low", IF(Customer_analytics[[#This Row],[Income]]&lt;100000, "Mid", "High"))</f>
        <v>High</v>
      </c>
      <c r="F177">
        <v>36</v>
      </c>
      <c r="G177">
        <v>5.59</v>
      </c>
      <c r="H177">
        <v>1.35</v>
      </c>
      <c r="I177" t="str">
        <f>IF(Customer_analytics[[#This Row],[TimeOnSite]]&lt;3, "Short Visit", IF(Customer_analytics[[#This Row],[TimeOnSite]]&lt;7, "Medium Visit", "Long Visit"))</f>
        <v>Short Visit</v>
      </c>
      <c r="J177">
        <v>87</v>
      </c>
      <c r="K177">
        <v>2</v>
      </c>
      <c r="L177">
        <v>8</v>
      </c>
      <c r="M177">
        <v>4</v>
      </c>
      <c r="N177">
        <v>1727</v>
      </c>
      <c r="O177">
        <v>1</v>
      </c>
    </row>
    <row r="178" spans="1:15" x14ac:dyDescent="0.35">
      <c r="A178">
        <v>8546</v>
      </c>
      <c r="B178">
        <v>21</v>
      </c>
      <c r="C178" t="s">
        <v>27</v>
      </c>
      <c r="D178">
        <v>59952</v>
      </c>
      <c r="E178" t="str">
        <f>IF(Customer_analytics[[#This Row],[Income]]&lt;50000, "Low", IF(Customer_analytics[[#This Row],[Income]]&lt;100000, "Mid", "High"))</f>
        <v>Mid</v>
      </c>
      <c r="F178">
        <v>26</v>
      </c>
      <c r="G178">
        <v>8.42</v>
      </c>
      <c r="H178">
        <v>9.49</v>
      </c>
      <c r="I178" t="str">
        <f>IF(Customer_analytics[[#This Row],[TimeOnSite]]&lt;3, "Short Visit", IF(Customer_analytics[[#This Row],[TimeOnSite]]&lt;7, "Medium Visit", "Long Visit"))</f>
        <v>Long Visit</v>
      </c>
      <c r="J178">
        <v>83</v>
      </c>
      <c r="K178">
        <v>2</v>
      </c>
      <c r="L178">
        <v>3</v>
      </c>
      <c r="M178">
        <v>6</v>
      </c>
      <c r="N178">
        <v>662</v>
      </c>
      <c r="O178">
        <v>1</v>
      </c>
    </row>
    <row r="179" spans="1:15" x14ac:dyDescent="0.35">
      <c r="A179">
        <v>8553</v>
      </c>
      <c r="B179">
        <v>49</v>
      </c>
      <c r="C179" t="s">
        <v>27</v>
      </c>
      <c r="D179">
        <v>47260</v>
      </c>
      <c r="E179" t="str">
        <f>IF(Customer_analytics[[#This Row],[Income]]&lt;50000, "Low", IF(Customer_analytics[[#This Row],[Income]]&lt;100000, "Mid", "High"))</f>
        <v>Low</v>
      </c>
      <c r="F179">
        <v>28</v>
      </c>
      <c r="G179">
        <v>4.0199999999999996</v>
      </c>
      <c r="H179">
        <v>12.89</v>
      </c>
      <c r="I179" t="str">
        <f>IF(Customer_analytics[[#This Row],[TimeOnSite]]&lt;3, "Short Visit", IF(Customer_analytics[[#This Row],[TimeOnSite]]&lt;7, "Medium Visit", "Long Visit"))</f>
        <v>Long Visit</v>
      </c>
      <c r="J179">
        <v>15</v>
      </c>
      <c r="K179">
        <v>5</v>
      </c>
      <c r="L179">
        <v>2</v>
      </c>
      <c r="M179">
        <v>8</v>
      </c>
      <c r="N179">
        <v>3227</v>
      </c>
      <c r="O179">
        <v>1</v>
      </c>
    </row>
    <row r="180" spans="1:15" x14ac:dyDescent="0.35">
      <c r="A180">
        <v>8554</v>
      </c>
      <c r="B180">
        <v>44</v>
      </c>
      <c r="C180" t="s">
        <v>21</v>
      </c>
      <c r="D180">
        <v>52879</v>
      </c>
      <c r="E180" t="str">
        <f>IF(Customer_analytics[[#This Row],[Income]]&lt;50000, "Low", IF(Customer_analytics[[#This Row],[Income]]&lt;100000, "Mid", "High"))</f>
        <v>Mid</v>
      </c>
      <c r="F180">
        <v>30</v>
      </c>
      <c r="G180">
        <v>6.14</v>
      </c>
      <c r="H180">
        <v>6.41</v>
      </c>
      <c r="I180" t="str">
        <f>IF(Customer_analytics[[#This Row],[TimeOnSite]]&lt;3, "Short Visit", IF(Customer_analytics[[#This Row],[TimeOnSite]]&lt;7, "Medium Visit", "Long Visit"))</f>
        <v>Medium Visit</v>
      </c>
      <c r="J180">
        <v>64</v>
      </c>
      <c r="K180">
        <v>9</v>
      </c>
      <c r="L180">
        <v>1</v>
      </c>
      <c r="M180">
        <v>6</v>
      </c>
      <c r="N180">
        <v>3226</v>
      </c>
      <c r="O180">
        <v>1</v>
      </c>
    </row>
    <row r="181" spans="1:15" x14ac:dyDescent="0.35">
      <c r="A181">
        <v>8556</v>
      </c>
      <c r="B181">
        <v>41</v>
      </c>
      <c r="C181" t="s">
        <v>21</v>
      </c>
      <c r="D181">
        <v>69744</v>
      </c>
      <c r="E181" t="str">
        <f>IF(Customer_analytics[[#This Row],[Income]]&lt;50000, "Low", IF(Customer_analytics[[#This Row],[Income]]&lt;100000, "Mid", "High"))</f>
        <v>Mid</v>
      </c>
      <c r="F181">
        <v>7</v>
      </c>
      <c r="G181">
        <v>9.8800000000000008</v>
      </c>
      <c r="H181">
        <v>14.51</v>
      </c>
      <c r="I181" t="str">
        <f>IF(Customer_analytics[[#This Row],[TimeOnSite]]&lt;3, "Short Visit", IF(Customer_analytics[[#This Row],[TimeOnSite]]&lt;7, "Medium Visit", "Long Visit"))</f>
        <v>Long Visit</v>
      </c>
      <c r="J181">
        <v>70</v>
      </c>
      <c r="K181">
        <v>8</v>
      </c>
      <c r="L181">
        <v>7</v>
      </c>
      <c r="M181">
        <v>3</v>
      </c>
      <c r="N181">
        <v>1046</v>
      </c>
      <c r="O181">
        <v>1</v>
      </c>
    </row>
    <row r="182" spans="1:15" x14ac:dyDescent="0.35">
      <c r="A182">
        <v>8561</v>
      </c>
      <c r="B182">
        <v>50</v>
      </c>
      <c r="C182" t="s">
        <v>27</v>
      </c>
      <c r="D182">
        <v>112551</v>
      </c>
      <c r="E182" t="str">
        <f>IF(Customer_analytics[[#This Row],[Income]]&lt;50000, "Low", IF(Customer_analytics[[#This Row],[Income]]&lt;100000, "Mid", "High"))</f>
        <v>High</v>
      </c>
      <c r="F182">
        <v>25</v>
      </c>
      <c r="G182">
        <v>9.48</v>
      </c>
      <c r="H182">
        <v>1.81</v>
      </c>
      <c r="I182" t="str">
        <f>IF(Customer_analytics[[#This Row],[TimeOnSite]]&lt;3, "Short Visit", IF(Customer_analytics[[#This Row],[TimeOnSite]]&lt;7, "Medium Visit", "Long Visit"))</f>
        <v>Short Visit</v>
      </c>
      <c r="J182">
        <v>70</v>
      </c>
      <c r="K182">
        <v>15</v>
      </c>
      <c r="L182">
        <v>8</v>
      </c>
      <c r="M182">
        <v>7</v>
      </c>
      <c r="N182">
        <v>325</v>
      </c>
      <c r="O182">
        <v>0</v>
      </c>
    </row>
    <row r="183" spans="1:15" x14ac:dyDescent="0.35">
      <c r="A183">
        <v>8565</v>
      </c>
      <c r="B183">
        <v>29</v>
      </c>
      <c r="C183" t="s">
        <v>27</v>
      </c>
      <c r="D183">
        <v>39178</v>
      </c>
      <c r="E183" t="str">
        <f>IF(Customer_analytics[[#This Row],[Income]]&lt;50000, "Low", IF(Customer_analytics[[#This Row],[Income]]&lt;100000, "Mid", "High"))</f>
        <v>Low</v>
      </c>
      <c r="F183">
        <v>22</v>
      </c>
      <c r="G183">
        <v>6.09</v>
      </c>
      <c r="H183">
        <v>5.79</v>
      </c>
      <c r="I183" t="str">
        <f>IF(Customer_analytics[[#This Row],[TimeOnSite]]&lt;3, "Short Visit", IF(Customer_analytics[[#This Row],[TimeOnSite]]&lt;7, "Medium Visit", "Long Visit"))</f>
        <v>Medium Visit</v>
      </c>
      <c r="J183">
        <v>13</v>
      </c>
      <c r="K183">
        <v>1</v>
      </c>
      <c r="L183">
        <v>7</v>
      </c>
      <c r="M183">
        <v>7</v>
      </c>
      <c r="N183">
        <v>4056</v>
      </c>
      <c r="O183">
        <v>1</v>
      </c>
    </row>
    <row r="184" spans="1:15" x14ac:dyDescent="0.35">
      <c r="A184">
        <v>8569</v>
      </c>
      <c r="B184">
        <v>57</v>
      </c>
      <c r="C184" t="s">
        <v>21</v>
      </c>
      <c r="D184">
        <v>129365</v>
      </c>
      <c r="E184" t="str">
        <f>IF(Customer_analytics[[#This Row],[Income]]&lt;50000, "Low", IF(Customer_analytics[[#This Row],[Income]]&lt;100000, "Mid", "High"))</f>
        <v>High</v>
      </c>
      <c r="F184">
        <v>32</v>
      </c>
      <c r="G184">
        <v>2.29</v>
      </c>
      <c r="H184">
        <v>7.07</v>
      </c>
      <c r="I184" t="str">
        <f>IF(Customer_analytics[[#This Row],[TimeOnSite]]&lt;3, "Short Visit", IF(Customer_analytics[[#This Row],[TimeOnSite]]&lt;7, "Medium Visit", "Long Visit"))</f>
        <v>Long Visit</v>
      </c>
      <c r="J184">
        <v>3</v>
      </c>
      <c r="K184">
        <v>14</v>
      </c>
      <c r="L184">
        <v>6</v>
      </c>
      <c r="M184">
        <v>2</v>
      </c>
      <c r="N184">
        <v>1064</v>
      </c>
      <c r="O184">
        <v>1</v>
      </c>
    </row>
    <row r="185" spans="1:15" x14ac:dyDescent="0.35">
      <c r="A185">
        <v>8571</v>
      </c>
      <c r="B185">
        <v>60</v>
      </c>
      <c r="C185" t="s">
        <v>21</v>
      </c>
      <c r="D185">
        <v>56366</v>
      </c>
      <c r="E185" t="str">
        <f>IF(Customer_analytics[[#This Row],[Income]]&lt;50000, "Low", IF(Customer_analytics[[#This Row],[Income]]&lt;100000, "Mid", "High"))</f>
        <v>Mid</v>
      </c>
      <c r="F185">
        <v>48</v>
      </c>
      <c r="G185">
        <v>6.46</v>
      </c>
      <c r="H185">
        <v>9.52</v>
      </c>
      <c r="I185" t="str">
        <f>IF(Customer_analytics[[#This Row],[TimeOnSite]]&lt;3, "Short Visit", IF(Customer_analytics[[#This Row],[TimeOnSite]]&lt;7, "Medium Visit", "Long Visit"))</f>
        <v>Long Visit</v>
      </c>
      <c r="J185">
        <v>42</v>
      </c>
      <c r="K185">
        <v>12</v>
      </c>
      <c r="L185">
        <v>1</v>
      </c>
      <c r="M185">
        <v>9</v>
      </c>
      <c r="N185">
        <v>1449</v>
      </c>
      <c r="O185">
        <v>1</v>
      </c>
    </row>
    <row r="186" spans="1:15" x14ac:dyDescent="0.35">
      <c r="A186">
        <v>8573</v>
      </c>
      <c r="B186">
        <v>46</v>
      </c>
      <c r="C186" t="s">
        <v>27</v>
      </c>
      <c r="D186">
        <v>119830</v>
      </c>
      <c r="E186" t="str">
        <f>IF(Customer_analytics[[#This Row],[Income]]&lt;50000, "Low", IF(Customer_analytics[[#This Row],[Income]]&lt;100000, "Mid", "High"))</f>
        <v>High</v>
      </c>
      <c r="F186">
        <v>11</v>
      </c>
      <c r="G186">
        <v>7.83</v>
      </c>
      <c r="H186">
        <v>8.23</v>
      </c>
      <c r="I186" t="str">
        <f>IF(Customer_analytics[[#This Row],[TimeOnSite]]&lt;3, "Short Visit", IF(Customer_analytics[[#This Row],[TimeOnSite]]&lt;7, "Medium Visit", "Long Visit"))</f>
        <v>Long Visit</v>
      </c>
      <c r="J186">
        <v>83</v>
      </c>
      <c r="K186">
        <v>4</v>
      </c>
      <c r="L186">
        <v>7</v>
      </c>
      <c r="M186">
        <v>3</v>
      </c>
      <c r="N186">
        <v>1606</v>
      </c>
      <c r="O186">
        <v>1</v>
      </c>
    </row>
    <row r="187" spans="1:15" x14ac:dyDescent="0.35">
      <c r="A187">
        <v>8575</v>
      </c>
      <c r="B187">
        <v>29</v>
      </c>
      <c r="C187" t="s">
        <v>21</v>
      </c>
      <c r="D187">
        <v>120273</v>
      </c>
      <c r="E187" t="str">
        <f>IF(Customer_analytics[[#This Row],[Income]]&lt;50000, "Low", IF(Customer_analytics[[#This Row],[Income]]&lt;100000, "Mid", "High"))</f>
        <v>High</v>
      </c>
      <c r="F187">
        <v>41</v>
      </c>
      <c r="G187">
        <v>8.5500000000000007</v>
      </c>
      <c r="H187">
        <v>7.18</v>
      </c>
      <c r="I187" t="str">
        <f>IF(Customer_analytics[[#This Row],[TimeOnSite]]&lt;3, "Short Visit", IF(Customer_analytics[[#This Row],[TimeOnSite]]&lt;7, "Medium Visit", "Long Visit"))</f>
        <v>Long Visit</v>
      </c>
      <c r="J187">
        <v>5</v>
      </c>
      <c r="K187">
        <v>9</v>
      </c>
      <c r="L187">
        <v>6</v>
      </c>
      <c r="M187">
        <v>9</v>
      </c>
      <c r="N187">
        <v>4173</v>
      </c>
      <c r="O187">
        <v>1</v>
      </c>
    </row>
    <row r="188" spans="1:15" x14ac:dyDescent="0.35">
      <c r="A188">
        <v>8582</v>
      </c>
      <c r="B188">
        <v>40</v>
      </c>
      <c r="C188" t="s">
        <v>27</v>
      </c>
      <c r="D188">
        <v>146866</v>
      </c>
      <c r="E188" t="str">
        <f>IF(Customer_analytics[[#This Row],[Income]]&lt;50000, "Low", IF(Customer_analytics[[#This Row],[Income]]&lt;100000, "Mid", "High"))</f>
        <v>High</v>
      </c>
      <c r="F188">
        <v>49</v>
      </c>
      <c r="G188">
        <v>7.81</v>
      </c>
      <c r="H188">
        <v>9.34</v>
      </c>
      <c r="I188" t="str">
        <f>IF(Customer_analytics[[#This Row],[TimeOnSite]]&lt;3, "Short Visit", IF(Customer_analytics[[#This Row],[TimeOnSite]]&lt;7, "Medium Visit", "Long Visit"))</f>
        <v>Long Visit</v>
      </c>
      <c r="J188">
        <v>37</v>
      </c>
      <c r="K188">
        <v>12</v>
      </c>
      <c r="L188">
        <v>5</v>
      </c>
      <c r="M188">
        <v>8</v>
      </c>
      <c r="N188">
        <v>3613</v>
      </c>
      <c r="O188">
        <v>1</v>
      </c>
    </row>
    <row r="189" spans="1:15" x14ac:dyDescent="0.35">
      <c r="A189">
        <v>8583</v>
      </c>
      <c r="B189">
        <v>34</v>
      </c>
      <c r="C189" t="s">
        <v>21</v>
      </c>
      <c r="D189">
        <v>120658</v>
      </c>
      <c r="E189" t="str">
        <f>IF(Customer_analytics[[#This Row],[Income]]&lt;50000, "Low", IF(Customer_analytics[[#This Row],[Income]]&lt;100000, "Mid", "High"))</f>
        <v>High</v>
      </c>
      <c r="F189">
        <v>1</v>
      </c>
      <c r="G189">
        <v>5.65</v>
      </c>
      <c r="H189">
        <v>10.75</v>
      </c>
      <c r="I189" t="str">
        <f>IF(Customer_analytics[[#This Row],[TimeOnSite]]&lt;3, "Short Visit", IF(Customer_analytics[[#This Row],[TimeOnSite]]&lt;7, "Medium Visit", "Long Visit"))</f>
        <v>Long Visit</v>
      </c>
      <c r="J189">
        <v>65</v>
      </c>
      <c r="K189">
        <v>3</v>
      </c>
      <c r="L189">
        <v>2</v>
      </c>
      <c r="M189">
        <v>3</v>
      </c>
      <c r="N189">
        <v>2277</v>
      </c>
      <c r="O189">
        <v>1</v>
      </c>
    </row>
    <row r="190" spans="1:15" x14ac:dyDescent="0.35">
      <c r="A190">
        <v>8584</v>
      </c>
      <c r="B190">
        <v>43</v>
      </c>
      <c r="C190" t="s">
        <v>21</v>
      </c>
      <c r="D190">
        <v>123623</v>
      </c>
      <c r="E190" t="str">
        <f>IF(Customer_analytics[[#This Row],[Income]]&lt;50000, "Low", IF(Customer_analytics[[#This Row],[Income]]&lt;100000, "Mid", "High"))</f>
        <v>High</v>
      </c>
      <c r="F190">
        <v>6</v>
      </c>
      <c r="G190">
        <v>8.81</v>
      </c>
      <c r="H190">
        <v>9.64</v>
      </c>
      <c r="I190" t="str">
        <f>IF(Customer_analytics[[#This Row],[TimeOnSite]]&lt;3, "Short Visit", IF(Customer_analytics[[#This Row],[TimeOnSite]]&lt;7, "Medium Visit", "Long Visit"))</f>
        <v>Long Visit</v>
      </c>
      <c r="J190">
        <v>64</v>
      </c>
      <c r="K190">
        <v>13</v>
      </c>
      <c r="L190">
        <v>5</v>
      </c>
      <c r="M190">
        <v>7</v>
      </c>
      <c r="N190">
        <v>2814</v>
      </c>
      <c r="O190">
        <v>1</v>
      </c>
    </row>
    <row r="191" spans="1:15" x14ac:dyDescent="0.35">
      <c r="A191">
        <v>8586</v>
      </c>
      <c r="B191">
        <v>46</v>
      </c>
      <c r="C191" t="s">
        <v>21</v>
      </c>
      <c r="D191">
        <v>132824</v>
      </c>
      <c r="E191" t="str">
        <f>IF(Customer_analytics[[#This Row],[Income]]&lt;50000, "Low", IF(Customer_analytics[[#This Row],[Income]]&lt;100000, "Mid", "High"))</f>
        <v>High</v>
      </c>
      <c r="F191">
        <v>21</v>
      </c>
      <c r="G191">
        <v>8.19</v>
      </c>
      <c r="H191">
        <v>8.27</v>
      </c>
      <c r="I191" t="str">
        <f>IF(Customer_analytics[[#This Row],[TimeOnSite]]&lt;3, "Short Visit", IF(Customer_analytics[[#This Row],[TimeOnSite]]&lt;7, "Medium Visit", "Long Visit"))</f>
        <v>Long Visit</v>
      </c>
      <c r="J191">
        <v>29</v>
      </c>
      <c r="K191">
        <v>6</v>
      </c>
      <c r="L191">
        <v>0</v>
      </c>
      <c r="M191">
        <v>6</v>
      </c>
      <c r="N191">
        <v>1477</v>
      </c>
      <c r="O191">
        <v>1</v>
      </c>
    </row>
    <row r="192" spans="1:15" x14ac:dyDescent="0.35">
      <c r="A192">
        <v>8589</v>
      </c>
      <c r="B192">
        <v>43</v>
      </c>
      <c r="C192" t="s">
        <v>21</v>
      </c>
      <c r="D192">
        <v>118917</v>
      </c>
      <c r="E192" t="str">
        <f>IF(Customer_analytics[[#This Row],[Income]]&lt;50000, "Low", IF(Customer_analytics[[#This Row],[Income]]&lt;100000, "Mid", "High"))</f>
        <v>High</v>
      </c>
      <c r="F192">
        <v>19</v>
      </c>
      <c r="G192">
        <v>2.9</v>
      </c>
      <c r="H192">
        <v>1.81</v>
      </c>
      <c r="I192" t="str">
        <f>IF(Customer_analytics[[#This Row],[TimeOnSite]]&lt;3, "Short Visit", IF(Customer_analytics[[#This Row],[TimeOnSite]]&lt;7, "Medium Visit", "Long Visit"))</f>
        <v>Short Visit</v>
      </c>
      <c r="J192">
        <v>31</v>
      </c>
      <c r="K192">
        <v>4</v>
      </c>
      <c r="L192">
        <v>4</v>
      </c>
      <c r="M192">
        <v>2</v>
      </c>
      <c r="N192">
        <v>4641</v>
      </c>
      <c r="O192">
        <v>1</v>
      </c>
    </row>
    <row r="193" spans="1:15" x14ac:dyDescent="0.35">
      <c r="A193">
        <v>8593</v>
      </c>
      <c r="B193">
        <v>24</v>
      </c>
      <c r="C193" t="s">
        <v>21</v>
      </c>
      <c r="D193">
        <v>61770</v>
      </c>
      <c r="E193" t="str">
        <f>IF(Customer_analytics[[#This Row],[Income]]&lt;50000, "Low", IF(Customer_analytics[[#This Row],[Income]]&lt;100000, "Mid", "High"))</f>
        <v>Mid</v>
      </c>
      <c r="F193">
        <v>2</v>
      </c>
      <c r="G193">
        <v>4.28</v>
      </c>
      <c r="H193">
        <v>11.69</v>
      </c>
      <c r="I193" t="str">
        <f>IF(Customer_analytics[[#This Row],[TimeOnSite]]&lt;3, "Short Visit", IF(Customer_analytics[[#This Row],[TimeOnSite]]&lt;7, "Medium Visit", "Long Visit"))</f>
        <v>Long Visit</v>
      </c>
      <c r="J193">
        <v>4</v>
      </c>
      <c r="K193">
        <v>7</v>
      </c>
      <c r="L193">
        <v>6</v>
      </c>
      <c r="M193">
        <v>7</v>
      </c>
      <c r="N193">
        <v>2090</v>
      </c>
      <c r="O193">
        <v>1</v>
      </c>
    </row>
    <row r="194" spans="1:15" x14ac:dyDescent="0.35">
      <c r="A194">
        <v>8594</v>
      </c>
      <c r="B194">
        <v>21</v>
      </c>
      <c r="C194" t="s">
        <v>21</v>
      </c>
      <c r="D194">
        <v>42300</v>
      </c>
      <c r="E194" t="str">
        <f>IF(Customer_analytics[[#This Row],[Income]]&lt;50000, "Low", IF(Customer_analytics[[#This Row],[Income]]&lt;100000, "Mid", "High"))</f>
        <v>Low</v>
      </c>
      <c r="F194">
        <v>49</v>
      </c>
      <c r="G194">
        <v>9.27</v>
      </c>
      <c r="H194">
        <v>5.61</v>
      </c>
      <c r="I194" t="str">
        <f>IF(Customer_analytics[[#This Row],[TimeOnSite]]&lt;3, "Short Visit", IF(Customer_analytics[[#This Row],[TimeOnSite]]&lt;7, "Medium Visit", "Long Visit"))</f>
        <v>Medium Visit</v>
      </c>
      <c r="J194">
        <v>98</v>
      </c>
      <c r="K194">
        <v>6</v>
      </c>
      <c r="L194">
        <v>2</v>
      </c>
      <c r="M194">
        <v>9</v>
      </c>
      <c r="N194">
        <v>4828</v>
      </c>
      <c r="O194">
        <v>1</v>
      </c>
    </row>
    <row r="195" spans="1:15" x14ac:dyDescent="0.35">
      <c r="A195">
        <v>8596</v>
      </c>
      <c r="B195">
        <v>62</v>
      </c>
      <c r="C195" t="s">
        <v>21</v>
      </c>
      <c r="D195">
        <v>88235</v>
      </c>
      <c r="E195" t="str">
        <f>IF(Customer_analytics[[#This Row],[Income]]&lt;50000, "Low", IF(Customer_analytics[[#This Row],[Income]]&lt;100000, "Mid", "High"))</f>
        <v>Mid</v>
      </c>
      <c r="F195">
        <v>26</v>
      </c>
      <c r="G195">
        <v>6.9</v>
      </c>
      <c r="H195">
        <v>4.58</v>
      </c>
      <c r="I195" t="str">
        <f>IF(Customer_analytics[[#This Row],[TimeOnSite]]&lt;3, "Short Visit", IF(Customer_analytics[[#This Row],[TimeOnSite]]&lt;7, "Medium Visit", "Long Visit"))</f>
        <v>Medium Visit</v>
      </c>
      <c r="J195">
        <v>95</v>
      </c>
      <c r="K195">
        <v>2</v>
      </c>
      <c r="L195">
        <v>8</v>
      </c>
      <c r="M195">
        <v>7</v>
      </c>
      <c r="N195">
        <v>2166</v>
      </c>
      <c r="O195">
        <v>1</v>
      </c>
    </row>
    <row r="196" spans="1:15" x14ac:dyDescent="0.35">
      <c r="A196">
        <v>8597</v>
      </c>
      <c r="B196">
        <v>28</v>
      </c>
      <c r="C196" t="s">
        <v>27</v>
      </c>
      <c r="D196">
        <v>49485</v>
      </c>
      <c r="E196" t="str">
        <f>IF(Customer_analytics[[#This Row],[Income]]&lt;50000, "Low", IF(Customer_analytics[[#This Row],[Income]]&lt;100000, "Mid", "High"))</f>
        <v>Low</v>
      </c>
      <c r="F196">
        <v>3</v>
      </c>
      <c r="G196">
        <v>4.93</v>
      </c>
      <c r="H196">
        <v>6.69</v>
      </c>
      <c r="I196" t="str">
        <f>IF(Customer_analytics[[#This Row],[TimeOnSite]]&lt;3, "Short Visit", IF(Customer_analytics[[#This Row],[TimeOnSite]]&lt;7, "Medium Visit", "Long Visit"))</f>
        <v>Medium Visit</v>
      </c>
      <c r="J196">
        <v>58</v>
      </c>
      <c r="K196">
        <v>17</v>
      </c>
      <c r="L196">
        <v>1</v>
      </c>
      <c r="M196">
        <v>3</v>
      </c>
      <c r="N196">
        <v>2855</v>
      </c>
      <c r="O196">
        <v>1</v>
      </c>
    </row>
    <row r="197" spans="1:15" x14ac:dyDescent="0.35">
      <c r="A197">
        <v>8598</v>
      </c>
      <c r="B197">
        <v>46</v>
      </c>
      <c r="C197" t="s">
        <v>27</v>
      </c>
      <c r="D197">
        <v>140605</v>
      </c>
      <c r="E197" t="str">
        <f>IF(Customer_analytics[[#This Row],[Income]]&lt;50000, "Low", IF(Customer_analytics[[#This Row],[Income]]&lt;100000, "Mid", "High"))</f>
        <v>High</v>
      </c>
      <c r="F197">
        <v>2</v>
      </c>
      <c r="G197">
        <v>6.86</v>
      </c>
      <c r="H197">
        <v>2.8</v>
      </c>
      <c r="I197" t="str">
        <f>IF(Customer_analytics[[#This Row],[TimeOnSite]]&lt;3, "Short Visit", IF(Customer_analytics[[#This Row],[TimeOnSite]]&lt;7, "Medium Visit", "Long Visit"))</f>
        <v>Short Visit</v>
      </c>
      <c r="J197">
        <v>22</v>
      </c>
      <c r="K197">
        <v>14</v>
      </c>
      <c r="L197">
        <v>8</v>
      </c>
      <c r="M197">
        <v>6</v>
      </c>
      <c r="N197">
        <v>2077</v>
      </c>
      <c r="O197">
        <v>1</v>
      </c>
    </row>
    <row r="198" spans="1:15" x14ac:dyDescent="0.35">
      <c r="A198">
        <v>8599</v>
      </c>
      <c r="B198">
        <v>53</v>
      </c>
      <c r="C198" t="s">
        <v>21</v>
      </c>
      <c r="D198">
        <v>60285</v>
      </c>
      <c r="E198" t="str">
        <f>IF(Customer_analytics[[#This Row],[Income]]&lt;50000, "Low", IF(Customer_analytics[[#This Row],[Income]]&lt;100000, "Mid", "High"))</f>
        <v>Mid</v>
      </c>
      <c r="F198">
        <v>26</v>
      </c>
      <c r="G198">
        <v>6.34</v>
      </c>
      <c r="H198">
        <v>10.17</v>
      </c>
      <c r="I198" t="str">
        <f>IF(Customer_analytics[[#This Row],[TimeOnSite]]&lt;3, "Short Visit", IF(Customer_analytics[[#This Row],[TimeOnSite]]&lt;7, "Medium Visit", "Long Visit"))</f>
        <v>Long Visit</v>
      </c>
      <c r="J198">
        <v>7</v>
      </c>
      <c r="K198">
        <v>14</v>
      </c>
      <c r="L198">
        <v>2</v>
      </c>
      <c r="M198">
        <v>9</v>
      </c>
      <c r="N198">
        <v>612</v>
      </c>
      <c r="O198">
        <v>1</v>
      </c>
    </row>
    <row r="199" spans="1:15" x14ac:dyDescent="0.35">
      <c r="A199">
        <v>8612</v>
      </c>
      <c r="B199">
        <v>35</v>
      </c>
      <c r="C199" t="s">
        <v>27</v>
      </c>
      <c r="D199">
        <v>92265</v>
      </c>
      <c r="E199" t="str">
        <f>IF(Customer_analytics[[#This Row],[Income]]&lt;50000, "Low", IF(Customer_analytics[[#This Row],[Income]]&lt;100000, "Mid", "High"))</f>
        <v>Mid</v>
      </c>
      <c r="F199">
        <v>30</v>
      </c>
      <c r="G199">
        <v>8.64</v>
      </c>
      <c r="H199">
        <v>12.84</v>
      </c>
      <c r="I199" t="str">
        <f>IF(Customer_analytics[[#This Row],[TimeOnSite]]&lt;3, "Short Visit", IF(Customer_analytics[[#This Row],[TimeOnSite]]&lt;7, "Medium Visit", "Long Visit"))</f>
        <v>Long Visit</v>
      </c>
      <c r="J199">
        <v>32</v>
      </c>
      <c r="K199">
        <v>7</v>
      </c>
      <c r="L199">
        <v>0</v>
      </c>
      <c r="M199">
        <v>1</v>
      </c>
      <c r="N199">
        <v>3806</v>
      </c>
      <c r="O199">
        <v>1</v>
      </c>
    </row>
    <row r="200" spans="1:15" x14ac:dyDescent="0.35">
      <c r="A200">
        <v>8616</v>
      </c>
      <c r="B200">
        <v>41</v>
      </c>
      <c r="C200" t="s">
        <v>21</v>
      </c>
      <c r="D200">
        <v>80684</v>
      </c>
      <c r="E200" t="str">
        <f>IF(Customer_analytics[[#This Row],[Income]]&lt;50000, "Low", IF(Customer_analytics[[#This Row],[Income]]&lt;100000, "Mid", "High"))</f>
        <v>Mid</v>
      </c>
      <c r="F200">
        <v>20</v>
      </c>
      <c r="G200">
        <v>2.17</v>
      </c>
      <c r="H200">
        <v>0.91</v>
      </c>
      <c r="I200" t="str">
        <f>IF(Customer_analytics[[#This Row],[TimeOnSite]]&lt;3, "Short Visit", IF(Customer_analytics[[#This Row],[TimeOnSite]]&lt;7, "Medium Visit", "Long Visit"))</f>
        <v>Short Visit</v>
      </c>
      <c r="J200">
        <v>98</v>
      </c>
      <c r="K200">
        <v>11</v>
      </c>
      <c r="L200">
        <v>2</v>
      </c>
      <c r="M200">
        <v>9</v>
      </c>
      <c r="N200">
        <v>4686</v>
      </c>
      <c r="O200">
        <v>1</v>
      </c>
    </row>
    <row r="201" spans="1:15" x14ac:dyDescent="0.35">
      <c r="A201">
        <v>8617</v>
      </c>
      <c r="B201">
        <v>40</v>
      </c>
      <c r="C201" t="s">
        <v>21</v>
      </c>
      <c r="D201">
        <v>75165</v>
      </c>
      <c r="E201" t="str">
        <f>IF(Customer_analytics[[#This Row],[Income]]&lt;50000, "Low", IF(Customer_analytics[[#This Row],[Income]]&lt;100000, "Mid", "High"))</f>
        <v>Mid</v>
      </c>
      <c r="F201">
        <v>45</v>
      </c>
      <c r="G201">
        <v>6.45</v>
      </c>
      <c r="H201">
        <v>3.04</v>
      </c>
      <c r="I201" t="str">
        <f>IF(Customer_analytics[[#This Row],[TimeOnSite]]&lt;3, "Short Visit", IF(Customer_analytics[[#This Row],[TimeOnSite]]&lt;7, "Medium Visit", "Long Visit"))</f>
        <v>Medium Visit</v>
      </c>
      <c r="J201">
        <v>27</v>
      </c>
      <c r="K201">
        <v>17</v>
      </c>
      <c r="L201">
        <v>3</v>
      </c>
      <c r="M201">
        <v>6</v>
      </c>
      <c r="N201">
        <v>2715</v>
      </c>
      <c r="O201">
        <v>1</v>
      </c>
    </row>
    <row r="202" spans="1:15" x14ac:dyDescent="0.35">
      <c r="A202">
        <v>8619</v>
      </c>
      <c r="B202">
        <v>54</v>
      </c>
      <c r="C202" t="s">
        <v>21</v>
      </c>
      <c r="D202">
        <v>54725</v>
      </c>
      <c r="E202" t="str">
        <f>IF(Customer_analytics[[#This Row],[Income]]&lt;50000, "Low", IF(Customer_analytics[[#This Row],[Income]]&lt;100000, "Mid", "High"))</f>
        <v>Mid</v>
      </c>
      <c r="F202">
        <v>0</v>
      </c>
      <c r="G202">
        <v>8.02</v>
      </c>
      <c r="H202">
        <v>14.96</v>
      </c>
      <c r="I202" t="str">
        <f>IF(Customer_analytics[[#This Row],[TimeOnSite]]&lt;3, "Short Visit", IF(Customer_analytics[[#This Row],[TimeOnSite]]&lt;7, "Medium Visit", "Long Visit"))</f>
        <v>Long Visit</v>
      </c>
      <c r="J202">
        <v>74</v>
      </c>
      <c r="K202">
        <v>15</v>
      </c>
      <c r="L202">
        <v>2</v>
      </c>
      <c r="M202">
        <v>2</v>
      </c>
      <c r="N202">
        <v>3923</v>
      </c>
      <c r="O202">
        <v>1</v>
      </c>
    </row>
    <row r="203" spans="1:15" x14ac:dyDescent="0.35">
      <c r="A203">
        <v>8623</v>
      </c>
      <c r="B203">
        <v>40</v>
      </c>
      <c r="C203" t="s">
        <v>27</v>
      </c>
      <c r="D203">
        <v>104600</v>
      </c>
      <c r="E203" t="str">
        <f>IF(Customer_analytics[[#This Row],[Income]]&lt;50000, "Low", IF(Customer_analytics[[#This Row],[Income]]&lt;100000, "Mid", "High"))</f>
        <v>High</v>
      </c>
      <c r="F203">
        <v>35</v>
      </c>
      <c r="G203">
        <v>5.96</v>
      </c>
      <c r="H203">
        <v>13.76</v>
      </c>
      <c r="I203" t="str">
        <f>IF(Customer_analytics[[#This Row],[TimeOnSite]]&lt;3, "Short Visit", IF(Customer_analytics[[#This Row],[TimeOnSite]]&lt;7, "Medium Visit", "Long Visit"))</f>
        <v>Long Visit</v>
      </c>
      <c r="J203">
        <v>22</v>
      </c>
      <c r="K203">
        <v>5</v>
      </c>
      <c r="L203">
        <v>0</v>
      </c>
      <c r="M203">
        <v>6</v>
      </c>
      <c r="N203">
        <v>333</v>
      </c>
      <c r="O203">
        <v>1</v>
      </c>
    </row>
    <row r="204" spans="1:15" x14ac:dyDescent="0.35">
      <c r="A204">
        <v>8627</v>
      </c>
      <c r="B204">
        <v>47</v>
      </c>
      <c r="C204" t="s">
        <v>21</v>
      </c>
      <c r="D204">
        <v>40115</v>
      </c>
      <c r="E204" t="str">
        <f>IF(Customer_analytics[[#This Row],[Income]]&lt;50000, "Low", IF(Customer_analytics[[#This Row],[Income]]&lt;100000, "Mid", "High"))</f>
        <v>Low</v>
      </c>
      <c r="F204">
        <v>40</v>
      </c>
      <c r="G204">
        <v>6.08</v>
      </c>
      <c r="H204">
        <v>11.52</v>
      </c>
      <c r="I204" t="str">
        <f>IF(Customer_analytics[[#This Row],[TimeOnSite]]&lt;3, "Short Visit", IF(Customer_analytics[[#This Row],[TimeOnSite]]&lt;7, "Medium Visit", "Long Visit"))</f>
        <v>Long Visit</v>
      </c>
      <c r="J204">
        <v>40</v>
      </c>
      <c r="K204">
        <v>7</v>
      </c>
      <c r="L204">
        <v>6</v>
      </c>
      <c r="M204">
        <v>8</v>
      </c>
      <c r="N204">
        <v>3624</v>
      </c>
      <c r="O204">
        <v>1</v>
      </c>
    </row>
    <row r="205" spans="1:15" x14ac:dyDescent="0.35">
      <c r="A205">
        <v>8631</v>
      </c>
      <c r="B205">
        <v>65</v>
      </c>
      <c r="C205" t="s">
        <v>27</v>
      </c>
      <c r="D205">
        <v>106151</v>
      </c>
      <c r="E205" t="str">
        <f>IF(Customer_analytics[[#This Row],[Income]]&lt;50000, "Low", IF(Customer_analytics[[#This Row],[Income]]&lt;100000, "Mid", "High"))</f>
        <v>High</v>
      </c>
      <c r="F205">
        <v>11</v>
      </c>
      <c r="G205">
        <v>3.15</v>
      </c>
      <c r="H205">
        <v>4.7</v>
      </c>
      <c r="I205" t="str">
        <f>IF(Customer_analytics[[#This Row],[TimeOnSite]]&lt;3, "Short Visit", IF(Customer_analytics[[#This Row],[TimeOnSite]]&lt;7, "Medium Visit", "Long Visit"))</f>
        <v>Medium Visit</v>
      </c>
      <c r="J205">
        <v>0</v>
      </c>
      <c r="K205">
        <v>10</v>
      </c>
      <c r="L205">
        <v>1</v>
      </c>
      <c r="M205">
        <v>5</v>
      </c>
      <c r="N205">
        <v>4046</v>
      </c>
      <c r="O205">
        <v>1</v>
      </c>
    </row>
    <row r="206" spans="1:15" x14ac:dyDescent="0.35">
      <c r="A206">
        <v>8638</v>
      </c>
      <c r="B206">
        <v>29</v>
      </c>
      <c r="C206" t="s">
        <v>21</v>
      </c>
      <c r="D206">
        <v>20981</v>
      </c>
      <c r="E206" t="str">
        <f>IF(Customer_analytics[[#This Row],[Income]]&lt;50000, "Low", IF(Customer_analytics[[#This Row],[Income]]&lt;100000, "Mid", "High"))</f>
        <v>Low</v>
      </c>
      <c r="F206">
        <v>32</v>
      </c>
      <c r="G206">
        <v>3.99</v>
      </c>
      <c r="H206">
        <v>3.19</v>
      </c>
      <c r="I206" t="str">
        <f>IF(Customer_analytics[[#This Row],[TimeOnSite]]&lt;3, "Short Visit", IF(Customer_analytics[[#This Row],[TimeOnSite]]&lt;7, "Medium Visit", "Long Visit"))</f>
        <v>Medium Visit</v>
      </c>
      <c r="J206">
        <v>42</v>
      </c>
      <c r="K206">
        <v>1</v>
      </c>
      <c r="L206">
        <v>3</v>
      </c>
      <c r="M206">
        <v>1</v>
      </c>
      <c r="N206">
        <v>4640</v>
      </c>
      <c r="O206">
        <v>0</v>
      </c>
    </row>
    <row r="207" spans="1:15" x14ac:dyDescent="0.35">
      <c r="A207">
        <v>8643</v>
      </c>
      <c r="B207">
        <v>24</v>
      </c>
      <c r="C207" t="s">
        <v>21</v>
      </c>
      <c r="D207">
        <v>101666</v>
      </c>
      <c r="E207" t="str">
        <f>IF(Customer_analytics[[#This Row],[Income]]&lt;50000, "Low", IF(Customer_analytics[[#This Row],[Income]]&lt;100000, "Mid", "High"))</f>
        <v>High</v>
      </c>
      <c r="F207">
        <v>29</v>
      </c>
      <c r="G207">
        <v>1.9</v>
      </c>
      <c r="H207">
        <v>4.18</v>
      </c>
      <c r="I207" t="str">
        <f>IF(Customer_analytics[[#This Row],[TimeOnSite]]&lt;3, "Short Visit", IF(Customer_analytics[[#This Row],[TimeOnSite]]&lt;7, "Medium Visit", "Long Visit"))</f>
        <v>Medium Visit</v>
      </c>
      <c r="J207">
        <v>25</v>
      </c>
      <c r="K207">
        <v>17</v>
      </c>
      <c r="L207">
        <v>7</v>
      </c>
      <c r="M207">
        <v>6</v>
      </c>
      <c r="N207">
        <v>4550</v>
      </c>
      <c r="O207">
        <v>1</v>
      </c>
    </row>
    <row r="208" spans="1:15" x14ac:dyDescent="0.35">
      <c r="A208">
        <v>8644</v>
      </c>
      <c r="B208">
        <v>45</v>
      </c>
      <c r="C208" t="s">
        <v>21</v>
      </c>
      <c r="D208">
        <v>104351</v>
      </c>
      <c r="E208" t="str">
        <f>IF(Customer_analytics[[#This Row],[Income]]&lt;50000, "Low", IF(Customer_analytics[[#This Row],[Income]]&lt;100000, "Mid", "High"))</f>
        <v>High</v>
      </c>
      <c r="F208">
        <v>27</v>
      </c>
      <c r="G208">
        <v>4.2300000000000004</v>
      </c>
      <c r="H208">
        <v>3.23</v>
      </c>
      <c r="I208" t="str">
        <f>IF(Customer_analytics[[#This Row],[TimeOnSite]]&lt;3, "Short Visit", IF(Customer_analytics[[#This Row],[TimeOnSite]]&lt;7, "Medium Visit", "Long Visit"))</f>
        <v>Medium Visit</v>
      </c>
      <c r="J208">
        <v>17</v>
      </c>
      <c r="K208">
        <v>16</v>
      </c>
      <c r="L208">
        <v>5</v>
      </c>
      <c r="M208">
        <v>8</v>
      </c>
      <c r="N208">
        <v>4369</v>
      </c>
      <c r="O208">
        <v>1</v>
      </c>
    </row>
    <row r="209" spans="1:15" x14ac:dyDescent="0.35">
      <c r="A209">
        <v>8646</v>
      </c>
      <c r="B209">
        <v>48</v>
      </c>
      <c r="C209" t="s">
        <v>21</v>
      </c>
      <c r="D209">
        <v>111865</v>
      </c>
      <c r="E209" t="str">
        <f>IF(Customer_analytics[[#This Row],[Income]]&lt;50000, "Low", IF(Customer_analytics[[#This Row],[Income]]&lt;100000, "Mid", "High"))</f>
        <v>High</v>
      </c>
      <c r="F209">
        <v>11</v>
      </c>
      <c r="G209">
        <v>7.97</v>
      </c>
      <c r="H209">
        <v>8.49</v>
      </c>
      <c r="I209" t="str">
        <f>IF(Customer_analytics[[#This Row],[TimeOnSite]]&lt;3, "Short Visit", IF(Customer_analytics[[#This Row],[TimeOnSite]]&lt;7, "Medium Visit", "Long Visit"))</f>
        <v>Long Visit</v>
      </c>
      <c r="J209">
        <v>74</v>
      </c>
      <c r="K209">
        <v>5</v>
      </c>
      <c r="L209">
        <v>3</v>
      </c>
      <c r="M209">
        <v>9</v>
      </c>
      <c r="N209">
        <v>3708</v>
      </c>
      <c r="O209">
        <v>1</v>
      </c>
    </row>
    <row r="210" spans="1:15" x14ac:dyDescent="0.35">
      <c r="A210">
        <v>8647</v>
      </c>
      <c r="B210">
        <v>69</v>
      </c>
      <c r="C210" t="s">
        <v>27</v>
      </c>
      <c r="D210">
        <v>91885</v>
      </c>
      <c r="E210" t="str">
        <f>IF(Customer_analytics[[#This Row],[Income]]&lt;50000, "Low", IF(Customer_analytics[[#This Row],[Income]]&lt;100000, "Mid", "High"))</f>
        <v>Mid</v>
      </c>
      <c r="F210">
        <v>43</v>
      </c>
      <c r="G210">
        <v>8.41</v>
      </c>
      <c r="H210">
        <v>13.25</v>
      </c>
      <c r="I210" t="str">
        <f>IF(Customer_analytics[[#This Row],[TimeOnSite]]&lt;3, "Short Visit", IF(Customer_analytics[[#This Row],[TimeOnSite]]&lt;7, "Medium Visit", "Long Visit"))</f>
        <v>Long Visit</v>
      </c>
      <c r="J210">
        <v>65</v>
      </c>
      <c r="K210">
        <v>17</v>
      </c>
      <c r="L210">
        <v>6</v>
      </c>
      <c r="M210">
        <v>5</v>
      </c>
      <c r="N210">
        <v>3870</v>
      </c>
      <c r="O210">
        <v>1</v>
      </c>
    </row>
    <row r="211" spans="1:15" x14ac:dyDescent="0.35">
      <c r="A211">
        <v>8653</v>
      </c>
      <c r="B211">
        <v>29</v>
      </c>
      <c r="C211" t="s">
        <v>27</v>
      </c>
      <c r="D211">
        <v>107350</v>
      </c>
      <c r="E211" t="str">
        <f>IF(Customer_analytics[[#This Row],[Income]]&lt;50000, "Low", IF(Customer_analytics[[#This Row],[Income]]&lt;100000, "Mid", "High"))</f>
        <v>High</v>
      </c>
      <c r="F211">
        <v>13</v>
      </c>
      <c r="G211">
        <v>6.83</v>
      </c>
      <c r="H211">
        <v>1.1399999999999999</v>
      </c>
      <c r="I211" t="str">
        <f>IF(Customer_analytics[[#This Row],[TimeOnSite]]&lt;3, "Short Visit", IF(Customer_analytics[[#This Row],[TimeOnSite]]&lt;7, "Medium Visit", "Long Visit"))</f>
        <v>Short Visit</v>
      </c>
      <c r="J211">
        <v>14</v>
      </c>
      <c r="K211">
        <v>2</v>
      </c>
      <c r="L211">
        <v>2</v>
      </c>
      <c r="M211">
        <v>1</v>
      </c>
      <c r="N211">
        <v>2195</v>
      </c>
      <c r="O211">
        <v>1</v>
      </c>
    </row>
    <row r="212" spans="1:15" x14ac:dyDescent="0.35">
      <c r="A212">
        <v>8657</v>
      </c>
      <c r="B212">
        <v>53</v>
      </c>
      <c r="C212" t="s">
        <v>21</v>
      </c>
      <c r="D212">
        <v>107081</v>
      </c>
      <c r="E212" t="str">
        <f>IF(Customer_analytics[[#This Row],[Income]]&lt;50000, "Low", IF(Customer_analytics[[#This Row],[Income]]&lt;100000, "Mid", "High"))</f>
        <v>High</v>
      </c>
      <c r="F212">
        <v>7</v>
      </c>
      <c r="G212">
        <v>8.2100000000000009</v>
      </c>
      <c r="H212">
        <v>14.03</v>
      </c>
      <c r="I212" t="str">
        <f>IF(Customer_analytics[[#This Row],[TimeOnSite]]&lt;3, "Short Visit", IF(Customer_analytics[[#This Row],[TimeOnSite]]&lt;7, "Medium Visit", "Long Visit"))</f>
        <v>Long Visit</v>
      </c>
      <c r="J212">
        <v>26</v>
      </c>
      <c r="K212">
        <v>12</v>
      </c>
      <c r="L212">
        <v>6</v>
      </c>
      <c r="M212">
        <v>2</v>
      </c>
      <c r="N212">
        <v>2964</v>
      </c>
      <c r="O212">
        <v>1</v>
      </c>
    </row>
    <row r="213" spans="1:15" x14ac:dyDescent="0.35">
      <c r="A213">
        <v>8662</v>
      </c>
      <c r="B213">
        <v>59</v>
      </c>
      <c r="C213" t="s">
        <v>21</v>
      </c>
      <c r="D213">
        <v>54103</v>
      </c>
      <c r="E213" t="str">
        <f>IF(Customer_analytics[[#This Row],[Income]]&lt;50000, "Low", IF(Customer_analytics[[#This Row],[Income]]&lt;100000, "Mid", "High"))</f>
        <v>Mid</v>
      </c>
      <c r="F213">
        <v>40</v>
      </c>
      <c r="G213">
        <v>4.92</v>
      </c>
      <c r="H213">
        <v>6.16</v>
      </c>
      <c r="I213" t="str">
        <f>IF(Customer_analytics[[#This Row],[TimeOnSite]]&lt;3, "Short Visit", IF(Customer_analytics[[#This Row],[TimeOnSite]]&lt;7, "Medium Visit", "Long Visit"))</f>
        <v>Medium Visit</v>
      </c>
      <c r="J213">
        <v>49</v>
      </c>
      <c r="K213">
        <v>1</v>
      </c>
      <c r="L213">
        <v>1</v>
      </c>
      <c r="M213">
        <v>2</v>
      </c>
      <c r="N213">
        <v>3426</v>
      </c>
      <c r="O213">
        <v>1</v>
      </c>
    </row>
    <row r="214" spans="1:15" x14ac:dyDescent="0.35">
      <c r="A214">
        <v>8664</v>
      </c>
      <c r="B214">
        <v>31</v>
      </c>
      <c r="C214" t="s">
        <v>27</v>
      </c>
      <c r="D214">
        <v>114805</v>
      </c>
      <c r="E214" t="str">
        <f>IF(Customer_analytics[[#This Row],[Income]]&lt;50000, "Low", IF(Customer_analytics[[#This Row],[Income]]&lt;100000, "Mid", "High"))</f>
        <v>High</v>
      </c>
      <c r="F214">
        <v>7</v>
      </c>
      <c r="G214">
        <v>3.25</v>
      </c>
      <c r="H214">
        <v>2.5099999999999998</v>
      </c>
      <c r="I214" t="str">
        <f>IF(Customer_analytics[[#This Row],[TimeOnSite]]&lt;3, "Short Visit", IF(Customer_analytics[[#This Row],[TimeOnSite]]&lt;7, "Medium Visit", "Long Visit"))</f>
        <v>Short Visit</v>
      </c>
      <c r="J214">
        <v>23</v>
      </c>
      <c r="K214">
        <v>14</v>
      </c>
      <c r="L214">
        <v>4</v>
      </c>
      <c r="M214">
        <v>8</v>
      </c>
      <c r="N214">
        <v>1878</v>
      </c>
      <c r="O214">
        <v>1</v>
      </c>
    </row>
    <row r="215" spans="1:15" x14ac:dyDescent="0.35">
      <c r="A215">
        <v>8665</v>
      </c>
      <c r="B215">
        <v>48</v>
      </c>
      <c r="C215" t="s">
        <v>21</v>
      </c>
      <c r="D215">
        <v>69264</v>
      </c>
      <c r="E215" t="str">
        <f>IF(Customer_analytics[[#This Row],[Income]]&lt;50000, "Low", IF(Customer_analytics[[#This Row],[Income]]&lt;100000, "Mid", "High"))</f>
        <v>Mid</v>
      </c>
      <c r="F215">
        <v>25</v>
      </c>
      <c r="G215">
        <v>9.3800000000000008</v>
      </c>
      <c r="H215">
        <v>9.94</v>
      </c>
      <c r="I215" t="str">
        <f>IF(Customer_analytics[[#This Row],[TimeOnSite]]&lt;3, "Short Visit", IF(Customer_analytics[[#This Row],[TimeOnSite]]&lt;7, "Medium Visit", "Long Visit"))</f>
        <v>Long Visit</v>
      </c>
      <c r="J215">
        <v>33</v>
      </c>
      <c r="K215">
        <v>3</v>
      </c>
      <c r="L215">
        <v>7</v>
      </c>
      <c r="M215">
        <v>3</v>
      </c>
      <c r="N215">
        <v>955</v>
      </c>
      <c r="O215">
        <v>1</v>
      </c>
    </row>
    <row r="216" spans="1:15" x14ac:dyDescent="0.35">
      <c r="A216">
        <v>8666</v>
      </c>
      <c r="B216">
        <v>22</v>
      </c>
      <c r="C216" t="s">
        <v>21</v>
      </c>
      <c r="D216">
        <v>40156</v>
      </c>
      <c r="E216" t="str">
        <f>IF(Customer_analytics[[#This Row],[Income]]&lt;50000, "Low", IF(Customer_analytics[[#This Row],[Income]]&lt;100000, "Mid", "High"))</f>
        <v>Low</v>
      </c>
      <c r="F216">
        <v>4</v>
      </c>
      <c r="G216">
        <v>5.54</v>
      </c>
      <c r="H216">
        <v>14.32</v>
      </c>
      <c r="I216" t="str">
        <f>IF(Customer_analytics[[#This Row],[TimeOnSite]]&lt;3, "Short Visit", IF(Customer_analytics[[#This Row],[TimeOnSite]]&lt;7, "Medium Visit", "Long Visit"))</f>
        <v>Long Visit</v>
      </c>
      <c r="J216">
        <v>90</v>
      </c>
      <c r="K216">
        <v>10</v>
      </c>
      <c r="L216">
        <v>4</v>
      </c>
      <c r="M216">
        <v>4</v>
      </c>
      <c r="N216">
        <v>1226</v>
      </c>
      <c r="O216">
        <v>1</v>
      </c>
    </row>
    <row r="217" spans="1:15" x14ac:dyDescent="0.35">
      <c r="A217">
        <v>8667</v>
      </c>
      <c r="B217">
        <v>52</v>
      </c>
      <c r="C217" t="s">
        <v>27</v>
      </c>
      <c r="D217">
        <v>33423</v>
      </c>
      <c r="E217" t="str">
        <f>IF(Customer_analytics[[#This Row],[Income]]&lt;50000, "Low", IF(Customer_analytics[[#This Row],[Income]]&lt;100000, "Mid", "High"))</f>
        <v>Low</v>
      </c>
      <c r="F217">
        <v>8</v>
      </c>
      <c r="G217">
        <v>1.66</v>
      </c>
      <c r="H217">
        <v>13.7</v>
      </c>
      <c r="I217" t="str">
        <f>IF(Customer_analytics[[#This Row],[TimeOnSite]]&lt;3, "Short Visit", IF(Customer_analytics[[#This Row],[TimeOnSite]]&lt;7, "Medium Visit", "Long Visit"))</f>
        <v>Long Visit</v>
      </c>
      <c r="J217">
        <v>19</v>
      </c>
      <c r="K217">
        <v>6</v>
      </c>
      <c r="L217">
        <v>1</v>
      </c>
      <c r="M217">
        <v>3</v>
      </c>
      <c r="N217">
        <v>1675</v>
      </c>
      <c r="O217">
        <v>0</v>
      </c>
    </row>
    <row r="218" spans="1:15" x14ac:dyDescent="0.35">
      <c r="A218">
        <v>8674</v>
      </c>
      <c r="B218">
        <v>29</v>
      </c>
      <c r="C218" t="s">
        <v>27</v>
      </c>
      <c r="D218">
        <v>103905</v>
      </c>
      <c r="E218" t="str">
        <f>IF(Customer_analytics[[#This Row],[Income]]&lt;50000, "Low", IF(Customer_analytics[[#This Row],[Income]]&lt;100000, "Mid", "High"))</f>
        <v>High</v>
      </c>
      <c r="F218">
        <v>30</v>
      </c>
      <c r="G218">
        <v>4.8899999999999997</v>
      </c>
      <c r="H218">
        <v>6.49</v>
      </c>
      <c r="I218" t="str">
        <f>IF(Customer_analytics[[#This Row],[TimeOnSite]]&lt;3, "Short Visit", IF(Customer_analytics[[#This Row],[TimeOnSite]]&lt;7, "Medium Visit", "Long Visit"))</f>
        <v>Medium Visit</v>
      </c>
      <c r="J218">
        <v>49</v>
      </c>
      <c r="K218">
        <v>1</v>
      </c>
      <c r="L218">
        <v>7</v>
      </c>
      <c r="M218">
        <v>7</v>
      </c>
      <c r="N218">
        <v>1322</v>
      </c>
      <c r="O218">
        <v>1</v>
      </c>
    </row>
    <row r="219" spans="1:15" x14ac:dyDescent="0.35">
      <c r="A219">
        <v>8675</v>
      </c>
      <c r="B219">
        <v>26</v>
      </c>
      <c r="C219" t="s">
        <v>21</v>
      </c>
      <c r="D219">
        <v>47868</v>
      </c>
      <c r="E219" t="str">
        <f>IF(Customer_analytics[[#This Row],[Income]]&lt;50000, "Low", IF(Customer_analytics[[#This Row],[Income]]&lt;100000, "Mid", "High"))</f>
        <v>Low</v>
      </c>
      <c r="F219">
        <v>0</v>
      </c>
      <c r="G219">
        <v>8.93</v>
      </c>
      <c r="H219">
        <v>6.35</v>
      </c>
      <c r="I219" t="str">
        <f>IF(Customer_analytics[[#This Row],[TimeOnSite]]&lt;3, "Short Visit", IF(Customer_analytics[[#This Row],[TimeOnSite]]&lt;7, "Medium Visit", "Long Visit"))</f>
        <v>Medium Visit</v>
      </c>
      <c r="J219">
        <v>54</v>
      </c>
      <c r="K219">
        <v>6</v>
      </c>
      <c r="L219">
        <v>0</v>
      </c>
      <c r="M219">
        <v>2</v>
      </c>
      <c r="N219">
        <v>1226</v>
      </c>
      <c r="O219">
        <v>1</v>
      </c>
    </row>
    <row r="220" spans="1:15" x14ac:dyDescent="0.35">
      <c r="A220">
        <v>8678</v>
      </c>
      <c r="B220">
        <v>34</v>
      </c>
      <c r="C220" t="s">
        <v>27</v>
      </c>
      <c r="D220">
        <v>139779</v>
      </c>
      <c r="E220" t="str">
        <f>IF(Customer_analytics[[#This Row],[Income]]&lt;50000, "Low", IF(Customer_analytics[[#This Row],[Income]]&lt;100000, "Mid", "High"))</f>
        <v>High</v>
      </c>
      <c r="F220">
        <v>46</v>
      </c>
      <c r="G220">
        <v>9.6999999999999993</v>
      </c>
      <c r="H220">
        <v>5.14</v>
      </c>
      <c r="I220" t="str">
        <f>IF(Customer_analytics[[#This Row],[TimeOnSite]]&lt;3, "Short Visit", IF(Customer_analytics[[#This Row],[TimeOnSite]]&lt;7, "Medium Visit", "Long Visit"))</f>
        <v>Medium Visit</v>
      </c>
      <c r="J220">
        <v>96</v>
      </c>
      <c r="K220">
        <v>17</v>
      </c>
      <c r="L220">
        <v>7</v>
      </c>
      <c r="M220">
        <v>1</v>
      </c>
      <c r="N220">
        <v>2719</v>
      </c>
      <c r="O220">
        <v>1</v>
      </c>
    </row>
    <row r="221" spans="1:15" x14ac:dyDescent="0.35">
      <c r="A221">
        <v>8679</v>
      </c>
      <c r="B221">
        <v>55</v>
      </c>
      <c r="C221" t="s">
        <v>21</v>
      </c>
      <c r="D221">
        <v>100084</v>
      </c>
      <c r="E221" t="str">
        <f>IF(Customer_analytics[[#This Row],[Income]]&lt;50000, "Low", IF(Customer_analytics[[#This Row],[Income]]&lt;100000, "Mid", "High"))</f>
        <v>High</v>
      </c>
      <c r="F221">
        <v>30</v>
      </c>
      <c r="G221">
        <v>8.4700000000000006</v>
      </c>
      <c r="H221">
        <v>14.91</v>
      </c>
      <c r="I221" t="str">
        <f>IF(Customer_analytics[[#This Row],[TimeOnSite]]&lt;3, "Short Visit", IF(Customer_analytics[[#This Row],[TimeOnSite]]&lt;7, "Medium Visit", "Long Visit"))</f>
        <v>Long Visit</v>
      </c>
      <c r="J221">
        <v>9</v>
      </c>
      <c r="K221">
        <v>14</v>
      </c>
      <c r="L221">
        <v>9</v>
      </c>
      <c r="M221">
        <v>5</v>
      </c>
      <c r="N221">
        <v>2703</v>
      </c>
      <c r="O221">
        <v>1</v>
      </c>
    </row>
    <row r="222" spans="1:15" x14ac:dyDescent="0.35">
      <c r="A222">
        <v>8682</v>
      </c>
      <c r="B222">
        <v>30</v>
      </c>
      <c r="C222" t="s">
        <v>21</v>
      </c>
      <c r="D222">
        <v>117919</v>
      </c>
      <c r="E222" t="str">
        <f>IF(Customer_analytics[[#This Row],[Income]]&lt;50000, "Low", IF(Customer_analytics[[#This Row],[Income]]&lt;100000, "Mid", "High"))</f>
        <v>High</v>
      </c>
      <c r="F222">
        <v>10</v>
      </c>
      <c r="G222">
        <v>2.02</v>
      </c>
      <c r="H222">
        <v>11.12</v>
      </c>
      <c r="I222" t="str">
        <f>IF(Customer_analytics[[#This Row],[TimeOnSite]]&lt;3, "Short Visit", IF(Customer_analytics[[#This Row],[TimeOnSite]]&lt;7, "Medium Visit", "Long Visit"))</f>
        <v>Long Visit</v>
      </c>
      <c r="J222">
        <v>10</v>
      </c>
      <c r="K222">
        <v>16</v>
      </c>
      <c r="L222">
        <v>4</v>
      </c>
      <c r="M222">
        <v>8</v>
      </c>
      <c r="N222">
        <v>2229</v>
      </c>
      <c r="O222">
        <v>1</v>
      </c>
    </row>
    <row r="223" spans="1:15" x14ac:dyDescent="0.35">
      <c r="A223">
        <v>8686</v>
      </c>
      <c r="B223">
        <v>67</v>
      </c>
      <c r="C223" t="s">
        <v>27</v>
      </c>
      <c r="D223">
        <v>115747</v>
      </c>
      <c r="E223" t="str">
        <f>IF(Customer_analytics[[#This Row],[Income]]&lt;50000, "Low", IF(Customer_analytics[[#This Row],[Income]]&lt;100000, "Mid", "High"))</f>
        <v>High</v>
      </c>
      <c r="F223">
        <v>29</v>
      </c>
      <c r="G223">
        <v>7.65</v>
      </c>
      <c r="H223">
        <v>7.64</v>
      </c>
      <c r="I223" t="str">
        <f>IF(Customer_analytics[[#This Row],[TimeOnSite]]&lt;3, "Short Visit", IF(Customer_analytics[[#This Row],[TimeOnSite]]&lt;7, "Medium Visit", "Long Visit"))</f>
        <v>Long Visit</v>
      </c>
      <c r="J223">
        <v>19</v>
      </c>
      <c r="K223">
        <v>4</v>
      </c>
      <c r="L223">
        <v>8</v>
      </c>
      <c r="M223">
        <v>8</v>
      </c>
      <c r="N223">
        <v>942</v>
      </c>
      <c r="O223">
        <v>1</v>
      </c>
    </row>
    <row r="224" spans="1:15" x14ac:dyDescent="0.35">
      <c r="A224">
        <v>8688</v>
      </c>
      <c r="B224">
        <v>19</v>
      </c>
      <c r="C224" t="s">
        <v>21</v>
      </c>
      <c r="D224">
        <v>23389</v>
      </c>
      <c r="E224" t="str">
        <f>IF(Customer_analytics[[#This Row],[Income]]&lt;50000, "Low", IF(Customer_analytics[[#This Row],[Income]]&lt;100000, "Mid", "High"))</f>
        <v>Low</v>
      </c>
      <c r="F224">
        <v>46</v>
      </c>
      <c r="G224">
        <v>1.41</v>
      </c>
      <c r="H224">
        <v>4.57</v>
      </c>
      <c r="I224" t="str">
        <f>IF(Customer_analytics[[#This Row],[TimeOnSite]]&lt;3, "Short Visit", IF(Customer_analytics[[#This Row],[TimeOnSite]]&lt;7, "Medium Visit", "Long Visit"))</f>
        <v>Medium Visit</v>
      </c>
      <c r="J224">
        <v>78</v>
      </c>
      <c r="K224">
        <v>11</v>
      </c>
      <c r="L224">
        <v>2</v>
      </c>
      <c r="M224">
        <v>3</v>
      </c>
      <c r="N224">
        <v>3194</v>
      </c>
      <c r="O224">
        <v>0</v>
      </c>
    </row>
    <row r="225" spans="1:15" x14ac:dyDescent="0.35">
      <c r="A225">
        <v>8697</v>
      </c>
      <c r="B225">
        <v>18</v>
      </c>
      <c r="C225" t="s">
        <v>21</v>
      </c>
      <c r="D225">
        <v>71857</v>
      </c>
      <c r="E225" t="str">
        <f>IF(Customer_analytics[[#This Row],[Income]]&lt;50000, "Low", IF(Customer_analytics[[#This Row],[Income]]&lt;100000, "Mid", "High"))</f>
        <v>Mid</v>
      </c>
      <c r="F225">
        <v>43</v>
      </c>
      <c r="G225">
        <v>4.3899999999999997</v>
      </c>
      <c r="H225">
        <v>13.37</v>
      </c>
      <c r="I225" t="str">
        <f>IF(Customer_analytics[[#This Row],[TimeOnSite]]&lt;3, "Short Visit", IF(Customer_analytics[[#This Row],[TimeOnSite]]&lt;7, "Medium Visit", "Long Visit"))</f>
        <v>Long Visit</v>
      </c>
      <c r="J225">
        <v>30</v>
      </c>
      <c r="K225">
        <v>4</v>
      </c>
      <c r="L225">
        <v>1</v>
      </c>
      <c r="M225">
        <v>1</v>
      </c>
      <c r="N225">
        <v>4383</v>
      </c>
      <c r="O225">
        <v>1</v>
      </c>
    </row>
    <row r="226" spans="1:15" x14ac:dyDescent="0.35">
      <c r="A226">
        <v>8698</v>
      </c>
      <c r="B226">
        <v>39</v>
      </c>
      <c r="C226" t="s">
        <v>21</v>
      </c>
      <c r="D226">
        <v>84367</v>
      </c>
      <c r="E226" t="str">
        <f>IF(Customer_analytics[[#This Row],[Income]]&lt;50000, "Low", IF(Customer_analytics[[#This Row],[Income]]&lt;100000, "Mid", "High"))</f>
        <v>Mid</v>
      </c>
      <c r="F226">
        <v>25</v>
      </c>
      <c r="G226">
        <v>2.69</v>
      </c>
      <c r="H226">
        <v>12.55</v>
      </c>
      <c r="I226" t="str">
        <f>IF(Customer_analytics[[#This Row],[TimeOnSite]]&lt;3, "Short Visit", IF(Customer_analytics[[#This Row],[TimeOnSite]]&lt;7, "Medium Visit", "Long Visit"))</f>
        <v>Long Visit</v>
      </c>
      <c r="J226">
        <v>50</v>
      </c>
      <c r="K226">
        <v>18</v>
      </c>
      <c r="L226">
        <v>0</v>
      </c>
      <c r="M226">
        <v>5</v>
      </c>
      <c r="N226">
        <v>614</v>
      </c>
      <c r="O226">
        <v>1</v>
      </c>
    </row>
    <row r="227" spans="1:15" x14ac:dyDescent="0.35">
      <c r="A227">
        <v>8699</v>
      </c>
      <c r="B227">
        <v>69</v>
      </c>
      <c r="C227" t="s">
        <v>21</v>
      </c>
      <c r="D227">
        <v>56527</v>
      </c>
      <c r="E227" t="str">
        <f>IF(Customer_analytics[[#This Row],[Income]]&lt;50000, "Low", IF(Customer_analytics[[#This Row],[Income]]&lt;100000, "Mid", "High"))</f>
        <v>Mid</v>
      </c>
      <c r="F227">
        <v>41</v>
      </c>
      <c r="G227">
        <v>7.03</v>
      </c>
      <c r="H227">
        <v>5.83</v>
      </c>
      <c r="I227" t="str">
        <f>IF(Customer_analytics[[#This Row],[TimeOnSite]]&lt;3, "Short Visit", IF(Customer_analytics[[#This Row],[TimeOnSite]]&lt;7, "Medium Visit", "Long Visit"))</f>
        <v>Medium Visit</v>
      </c>
      <c r="J227">
        <v>82</v>
      </c>
      <c r="K227">
        <v>10</v>
      </c>
      <c r="L227">
        <v>9</v>
      </c>
      <c r="M227">
        <v>9</v>
      </c>
      <c r="N227">
        <v>921</v>
      </c>
      <c r="O227">
        <v>1</v>
      </c>
    </row>
    <row r="228" spans="1:15" x14ac:dyDescent="0.35">
      <c r="A228">
        <v>8703</v>
      </c>
      <c r="B228">
        <v>62</v>
      </c>
      <c r="C228" t="s">
        <v>27</v>
      </c>
      <c r="D228">
        <v>131562</v>
      </c>
      <c r="E228" t="str">
        <f>IF(Customer_analytics[[#This Row],[Income]]&lt;50000, "Low", IF(Customer_analytics[[#This Row],[Income]]&lt;100000, "Mid", "High"))</f>
        <v>High</v>
      </c>
      <c r="F228">
        <v>45</v>
      </c>
      <c r="G228">
        <v>4.71</v>
      </c>
      <c r="H228">
        <v>7.67</v>
      </c>
      <c r="I228" t="str">
        <f>IF(Customer_analytics[[#This Row],[TimeOnSite]]&lt;3, "Short Visit", IF(Customer_analytics[[#This Row],[TimeOnSite]]&lt;7, "Medium Visit", "Long Visit"))</f>
        <v>Long Visit</v>
      </c>
      <c r="J228">
        <v>76</v>
      </c>
      <c r="K228">
        <v>14</v>
      </c>
      <c r="L228">
        <v>3</v>
      </c>
      <c r="M228">
        <v>1</v>
      </c>
      <c r="N228">
        <v>1114</v>
      </c>
      <c r="O228">
        <v>1</v>
      </c>
    </row>
    <row r="229" spans="1:15" x14ac:dyDescent="0.35">
      <c r="A229">
        <v>8704</v>
      </c>
      <c r="B229">
        <v>21</v>
      </c>
      <c r="C229" t="s">
        <v>21</v>
      </c>
      <c r="D229">
        <v>21112</v>
      </c>
      <c r="E229" t="str">
        <f>IF(Customer_analytics[[#This Row],[Income]]&lt;50000, "Low", IF(Customer_analytics[[#This Row],[Income]]&lt;100000, "Mid", "High"))</f>
        <v>Low</v>
      </c>
      <c r="F229">
        <v>34</v>
      </c>
      <c r="G229">
        <v>9.75</v>
      </c>
      <c r="H229">
        <v>9.01</v>
      </c>
      <c r="I229" t="str">
        <f>IF(Customer_analytics[[#This Row],[TimeOnSite]]&lt;3, "Short Visit", IF(Customer_analytics[[#This Row],[TimeOnSite]]&lt;7, "Medium Visit", "Long Visit"))</f>
        <v>Long Visit</v>
      </c>
      <c r="J229">
        <v>37</v>
      </c>
      <c r="K229">
        <v>3</v>
      </c>
      <c r="L229">
        <v>1</v>
      </c>
      <c r="M229">
        <v>1</v>
      </c>
      <c r="N229">
        <v>3444</v>
      </c>
      <c r="O229">
        <v>1</v>
      </c>
    </row>
    <row r="230" spans="1:15" x14ac:dyDescent="0.35">
      <c r="A230">
        <v>8707</v>
      </c>
      <c r="B230">
        <v>48</v>
      </c>
      <c r="C230" t="s">
        <v>27</v>
      </c>
      <c r="D230">
        <v>109017</v>
      </c>
      <c r="E230" t="str">
        <f>IF(Customer_analytics[[#This Row],[Income]]&lt;50000, "Low", IF(Customer_analytics[[#This Row],[Income]]&lt;100000, "Mid", "High"))</f>
        <v>High</v>
      </c>
      <c r="F230">
        <v>6</v>
      </c>
      <c r="G230">
        <v>5.76</v>
      </c>
      <c r="H230">
        <v>8.3699999999999992</v>
      </c>
      <c r="I230" t="str">
        <f>IF(Customer_analytics[[#This Row],[TimeOnSite]]&lt;3, "Short Visit", IF(Customer_analytics[[#This Row],[TimeOnSite]]&lt;7, "Medium Visit", "Long Visit"))</f>
        <v>Long Visit</v>
      </c>
      <c r="J230">
        <v>10</v>
      </c>
      <c r="K230">
        <v>1</v>
      </c>
      <c r="L230">
        <v>5</v>
      </c>
      <c r="M230">
        <v>9</v>
      </c>
      <c r="N230">
        <v>846</v>
      </c>
      <c r="O230">
        <v>0</v>
      </c>
    </row>
    <row r="231" spans="1:15" x14ac:dyDescent="0.35">
      <c r="A231">
        <v>8709</v>
      </c>
      <c r="B231">
        <v>61</v>
      </c>
      <c r="C231" t="s">
        <v>21</v>
      </c>
      <c r="D231">
        <v>95561</v>
      </c>
      <c r="E231" t="str">
        <f>IF(Customer_analytics[[#This Row],[Income]]&lt;50000, "Low", IF(Customer_analytics[[#This Row],[Income]]&lt;100000, "Mid", "High"))</f>
        <v>Mid</v>
      </c>
      <c r="F231">
        <v>46</v>
      </c>
      <c r="G231">
        <v>2.13</v>
      </c>
      <c r="H231">
        <v>7.33</v>
      </c>
      <c r="I231" t="str">
        <f>IF(Customer_analytics[[#This Row],[TimeOnSite]]&lt;3, "Short Visit", IF(Customer_analytics[[#This Row],[TimeOnSite]]&lt;7, "Medium Visit", "Long Visit"))</f>
        <v>Long Visit</v>
      </c>
      <c r="J231">
        <v>57</v>
      </c>
      <c r="K231">
        <v>18</v>
      </c>
      <c r="L231">
        <v>6</v>
      </c>
      <c r="M231">
        <v>6</v>
      </c>
      <c r="N231">
        <v>666</v>
      </c>
      <c r="O231">
        <v>1</v>
      </c>
    </row>
    <row r="232" spans="1:15" x14ac:dyDescent="0.35">
      <c r="A232">
        <v>8714</v>
      </c>
      <c r="B232">
        <v>36</v>
      </c>
      <c r="C232" t="s">
        <v>27</v>
      </c>
      <c r="D232">
        <v>31304</v>
      </c>
      <c r="E232" t="str">
        <f>IF(Customer_analytics[[#This Row],[Income]]&lt;50000, "Low", IF(Customer_analytics[[#This Row],[Income]]&lt;100000, "Mid", "High"))</f>
        <v>Low</v>
      </c>
      <c r="F232">
        <v>16</v>
      </c>
      <c r="G232">
        <v>1.59</v>
      </c>
      <c r="H232">
        <v>7.72</v>
      </c>
      <c r="I232" t="str">
        <f>IF(Customer_analytics[[#This Row],[TimeOnSite]]&lt;3, "Short Visit", IF(Customer_analytics[[#This Row],[TimeOnSite]]&lt;7, "Medium Visit", "Long Visit"))</f>
        <v>Long Visit</v>
      </c>
      <c r="J232">
        <v>88</v>
      </c>
      <c r="K232">
        <v>7</v>
      </c>
      <c r="L232">
        <v>9</v>
      </c>
      <c r="M232">
        <v>7</v>
      </c>
      <c r="N232">
        <v>4730</v>
      </c>
      <c r="O232">
        <v>1</v>
      </c>
    </row>
    <row r="233" spans="1:15" x14ac:dyDescent="0.35">
      <c r="A233">
        <v>8723</v>
      </c>
      <c r="B233">
        <v>25</v>
      </c>
      <c r="C233" t="s">
        <v>27</v>
      </c>
      <c r="D233">
        <v>148658</v>
      </c>
      <c r="E233" t="str">
        <f>IF(Customer_analytics[[#This Row],[Income]]&lt;50000, "Low", IF(Customer_analytics[[#This Row],[Income]]&lt;100000, "Mid", "High"))</f>
        <v>High</v>
      </c>
      <c r="F233">
        <v>37</v>
      </c>
      <c r="G233">
        <v>1.67</v>
      </c>
      <c r="H233">
        <v>4.51</v>
      </c>
      <c r="I233" t="str">
        <f>IF(Customer_analytics[[#This Row],[TimeOnSite]]&lt;3, "Short Visit", IF(Customer_analytics[[#This Row],[TimeOnSite]]&lt;7, "Medium Visit", "Long Visit"))</f>
        <v>Medium Visit</v>
      </c>
      <c r="J233">
        <v>59</v>
      </c>
      <c r="K233">
        <v>1</v>
      </c>
      <c r="L233">
        <v>4</v>
      </c>
      <c r="M233">
        <v>7</v>
      </c>
      <c r="N233">
        <v>4769</v>
      </c>
      <c r="O233">
        <v>0</v>
      </c>
    </row>
    <row r="234" spans="1:15" x14ac:dyDescent="0.35">
      <c r="A234">
        <v>8727</v>
      </c>
      <c r="B234">
        <v>20</v>
      </c>
      <c r="C234" t="s">
        <v>21</v>
      </c>
      <c r="D234">
        <v>78348</v>
      </c>
      <c r="E234" t="str">
        <f>IF(Customer_analytics[[#This Row],[Income]]&lt;50000, "Low", IF(Customer_analytics[[#This Row],[Income]]&lt;100000, "Mid", "High"))</f>
        <v>Mid</v>
      </c>
      <c r="F234">
        <v>39</v>
      </c>
      <c r="G234">
        <v>2.09</v>
      </c>
      <c r="H234">
        <v>1.78</v>
      </c>
      <c r="I234" t="str">
        <f>IF(Customer_analytics[[#This Row],[TimeOnSite]]&lt;3, "Short Visit", IF(Customer_analytics[[#This Row],[TimeOnSite]]&lt;7, "Medium Visit", "Long Visit"))</f>
        <v>Short Visit</v>
      </c>
      <c r="J234">
        <v>50</v>
      </c>
      <c r="K234">
        <v>10</v>
      </c>
      <c r="L234">
        <v>0</v>
      </c>
      <c r="M234">
        <v>1</v>
      </c>
      <c r="N234">
        <v>1973</v>
      </c>
      <c r="O234">
        <v>0</v>
      </c>
    </row>
    <row r="235" spans="1:15" x14ac:dyDescent="0.35">
      <c r="A235">
        <v>8729</v>
      </c>
      <c r="B235">
        <v>45</v>
      </c>
      <c r="C235" t="s">
        <v>27</v>
      </c>
      <c r="D235">
        <v>148121</v>
      </c>
      <c r="E235" t="str">
        <f>IF(Customer_analytics[[#This Row],[Income]]&lt;50000, "Low", IF(Customer_analytics[[#This Row],[Income]]&lt;100000, "Mid", "High"))</f>
        <v>High</v>
      </c>
      <c r="F235">
        <v>33</v>
      </c>
      <c r="G235">
        <v>6.02</v>
      </c>
      <c r="H235">
        <v>12.96</v>
      </c>
      <c r="I235" t="str">
        <f>IF(Customer_analytics[[#This Row],[TimeOnSite]]&lt;3, "Short Visit", IF(Customer_analytics[[#This Row],[TimeOnSite]]&lt;7, "Medium Visit", "Long Visit"))</f>
        <v>Long Visit</v>
      </c>
      <c r="J235">
        <v>56</v>
      </c>
      <c r="K235">
        <v>13</v>
      </c>
      <c r="L235">
        <v>1</v>
      </c>
      <c r="M235">
        <v>9</v>
      </c>
      <c r="N235">
        <v>2627</v>
      </c>
      <c r="O235">
        <v>1</v>
      </c>
    </row>
    <row r="236" spans="1:15" x14ac:dyDescent="0.35">
      <c r="A236">
        <v>8730</v>
      </c>
      <c r="B236">
        <v>66</v>
      </c>
      <c r="C236" t="s">
        <v>21</v>
      </c>
      <c r="D236">
        <v>100972</v>
      </c>
      <c r="E236" t="str">
        <f>IF(Customer_analytics[[#This Row],[Income]]&lt;50000, "Low", IF(Customer_analytics[[#This Row],[Income]]&lt;100000, "Mid", "High"))</f>
        <v>High</v>
      </c>
      <c r="F236">
        <v>9</v>
      </c>
      <c r="G236">
        <v>3.81</v>
      </c>
      <c r="H236">
        <v>5.75</v>
      </c>
      <c r="I236" t="str">
        <f>IF(Customer_analytics[[#This Row],[TimeOnSite]]&lt;3, "Short Visit", IF(Customer_analytics[[#This Row],[TimeOnSite]]&lt;7, "Medium Visit", "Long Visit"))</f>
        <v>Medium Visit</v>
      </c>
      <c r="J236">
        <v>83</v>
      </c>
      <c r="K236">
        <v>4</v>
      </c>
      <c r="L236">
        <v>2</v>
      </c>
      <c r="M236">
        <v>4</v>
      </c>
      <c r="N236">
        <v>3913</v>
      </c>
      <c r="O236">
        <v>1</v>
      </c>
    </row>
    <row r="237" spans="1:15" x14ac:dyDescent="0.35">
      <c r="A237">
        <v>8733</v>
      </c>
      <c r="B237">
        <v>55</v>
      </c>
      <c r="C237" t="s">
        <v>21</v>
      </c>
      <c r="D237">
        <v>100732</v>
      </c>
      <c r="E237" t="str">
        <f>IF(Customer_analytics[[#This Row],[Income]]&lt;50000, "Low", IF(Customer_analytics[[#This Row],[Income]]&lt;100000, "Mid", "High"))</f>
        <v>High</v>
      </c>
      <c r="F237">
        <v>43</v>
      </c>
      <c r="G237">
        <v>3.22</v>
      </c>
      <c r="H237">
        <v>10.029999999999999</v>
      </c>
      <c r="I237" t="str">
        <f>IF(Customer_analytics[[#This Row],[TimeOnSite]]&lt;3, "Short Visit", IF(Customer_analytics[[#This Row],[TimeOnSite]]&lt;7, "Medium Visit", "Long Visit"))</f>
        <v>Long Visit</v>
      </c>
      <c r="J237">
        <v>5</v>
      </c>
      <c r="K237">
        <v>4</v>
      </c>
      <c r="L237">
        <v>8</v>
      </c>
      <c r="M237">
        <v>4</v>
      </c>
      <c r="N237">
        <v>2673</v>
      </c>
      <c r="O237">
        <v>1</v>
      </c>
    </row>
    <row r="238" spans="1:15" x14ac:dyDescent="0.35">
      <c r="A238">
        <v>8734</v>
      </c>
      <c r="B238">
        <v>23</v>
      </c>
      <c r="C238" t="s">
        <v>21</v>
      </c>
      <c r="D238">
        <v>80200</v>
      </c>
      <c r="E238" t="str">
        <f>IF(Customer_analytics[[#This Row],[Income]]&lt;50000, "Low", IF(Customer_analytics[[#This Row],[Income]]&lt;100000, "Mid", "High"))</f>
        <v>Mid</v>
      </c>
      <c r="F238">
        <v>9</v>
      </c>
      <c r="G238">
        <v>1.31</v>
      </c>
      <c r="H238">
        <v>7.27</v>
      </c>
      <c r="I238" t="str">
        <f>IF(Customer_analytics[[#This Row],[TimeOnSite]]&lt;3, "Short Visit", IF(Customer_analytics[[#This Row],[TimeOnSite]]&lt;7, "Medium Visit", "Long Visit"))</f>
        <v>Long Visit</v>
      </c>
      <c r="J238">
        <v>6</v>
      </c>
      <c r="K238">
        <v>4</v>
      </c>
      <c r="L238">
        <v>3</v>
      </c>
      <c r="M238">
        <v>9</v>
      </c>
      <c r="N238">
        <v>627</v>
      </c>
      <c r="O238">
        <v>0</v>
      </c>
    </row>
    <row r="239" spans="1:15" x14ac:dyDescent="0.35">
      <c r="A239">
        <v>8739</v>
      </c>
      <c r="B239">
        <v>64</v>
      </c>
      <c r="C239" t="s">
        <v>27</v>
      </c>
      <c r="D239">
        <v>118120</v>
      </c>
      <c r="E239" t="str">
        <f>IF(Customer_analytics[[#This Row],[Income]]&lt;50000, "Low", IF(Customer_analytics[[#This Row],[Income]]&lt;100000, "Mid", "High"))</f>
        <v>High</v>
      </c>
      <c r="F239">
        <v>6</v>
      </c>
      <c r="G239">
        <v>1.59</v>
      </c>
      <c r="H239">
        <v>7.08</v>
      </c>
      <c r="I239" t="str">
        <f>IF(Customer_analytics[[#This Row],[TimeOnSite]]&lt;3, "Short Visit", IF(Customer_analytics[[#This Row],[TimeOnSite]]&lt;7, "Medium Visit", "Long Visit"))</f>
        <v>Long Visit</v>
      </c>
      <c r="J239">
        <v>97</v>
      </c>
      <c r="K239">
        <v>1</v>
      </c>
      <c r="L239">
        <v>7</v>
      </c>
      <c r="M239">
        <v>9</v>
      </c>
      <c r="N239">
        <v>4006</v>
      </c>
      <c r="O239">
        <v>1</v>
      </c>
    </row>
    <row r="240" spans="1:15" x14ac:dyDescent="0.35">
      <c r="A240">
        <v>8742</v>
      </c>
      <c r="B240">
        <v>38</v>
      </c>
      <c r="C240" t="s">
        <v>21</v>
      </c>
      <c r="D240">
        <v>64840</v>
      </c>
      <c r="E240" t="str">
        <f>IF(Customer_analytics[[#This Row],[Income]]&lt;50000, "Low", IF(Customer_analytics[[#This Row],[Income]]&lt;100000, "Mid", "High"))</f>
        <v>Mid</v>
      </c>
      <c r="F240">
        <v>12</v>
      </c>
      <c r="G240">
        <v>9.19</v>
      </c>
      <c r="H240">
        <v>9.7200000000000006</v>
      </c>
      <c r="I240" t="str">
        <f>IF(Customer_analytics[[#This Row],[TimeOnSite]]&lt;3, "Short Visit", IF(Customer_analytics[[#This Row],[TimeOnSite]]&lt;7, "Medium Visit", "Long Visit"))</f>
        <v>Long Visit</v>
      </c>
      <c r="J240">
        <v>4</v>
      </c>
      <c r="K240">
        <v>9</v>
      </c>
      <c r="L240">
        <v>4</v>
      </c>
      <c r="M240">
        <v>8</v>
      </c>
      <c r="N240">
        <v>1071</v>
      </c>
      <c r="O240">
        <v>1</v>
      </c>
    </row>
    <row r="241" spans="1:15" x14ac:dyDescent="0.35">
      <c r="A241">
        <v>8746</v>
      </c>
      <c r="B241">
        <v>52</v>
      </c>
      <c r="C241" t="s">
        <v>21</v>
      </c>
      <c r="D241">
        <v>79321</v>
      </c>
      <c r="E241" t="str">
        <f>IF(Customer_analytics[[#This Row],[Income]]&lt;50000, "Low", IF(Customer_analytics[[#This Row],[Income]]&lt;100000, "Mid", "High"))</f>
        <v>Mid</v>
      </c>
      <c r="F241">
        <v>46</v>
      </c>
      <c r="G241">
        <v>6.97</v>
      </c>
      <c r="H241">
        <v>5.81</v>
      </c>
      <c r="I241" t="str">
        <f>IF(Customer_analytics[[#This Row],[TimeOnSite]]&lt;3, "Short Visit", IF(Customer_analytics[[#This Row],[TimeOnSite]]&lt;7, "Medium Visit", "Long Visit"))</f>
        <v>Medium Visit</v>
      </c>
      <c r="J241">
        <v>1</v>
      </c>
      <c r="K241">
        <v>9</v>
      </c>
      <c r="L241">
        <v>3</v>
      </c>
      <c r="M241">
        <v>9</v>
      </c>
      <c r="N241">
        <v>2360</v>
      </c>
      <c r="O241">
        <v>1</v>
      </c>
    </row>
    <row r="242" spans="1:15" x14ac:dyDescent="0.35">
      <c r="A242">
        <v>8748</v>
      </c>
      <c r="B242">
        <v>37</v>
      </c>
      <c r="C242" t="s">
        <v>21</v>
      </c>
      <c r="D242">
        <v>63202</v>
      </c>
      <c r="E242" t="str">
        <f>IF(Customer_analytics[[#This Row],[Income]]&lt;50000, "Low", IF(Customer_analytics[[#This Row],[Income]]&lt;100000, "Mid", "High"))</f>
        <v>Mid</v>
      </c>
      <c r="F242">
        <v>46</v>
      </c>
      <c r="G242">
        <v>4.84</v>
      </c>
      <c r="H242">
        <v>2.2200000000000002</v>
      </c>
      <c r="I242" t="str">
        <f>IF(Customer_analytics[[#This Row],[TimeOnSite]]&lt;3, "Short Visit", IF(Customer_analytics[[#This Row],[TimeOnSite]]&lt;7, "Medium Visit", "Long Visit"))</f>
        <v>Short Visit</v>
      </c>
      <c r="J242">
        <v>9</v>
      </c>
      <c r="K242">
        <v>18</v>
      </c>
      <c r="L242">
        <v>5</v>
      </c>
      <c r="M242">
        <v>1</v>
      </c>
      <c r="N242">
        <v>2299</v>
      </c>
      <c r="O242">
        <v>1</v>
      </c>
    </row>
    <row r="243" spans="1:15" x14ac:dyDescent="0.35">
      <c r="A243">
        <v>8750</v>
      </c>
      <c r="B243">
        <v>64</v>
      </c>
      <c r="C243" t="s">
        <v>21</v>
      </c>
      <c r="D243">
        <v>23090</v>
      </c>
      <c r="E243" t="str">
        <f>IF(Customer_analytics[[#This Row],[Income]]&lt;50000, "Low", IF(Customer_analytics[[#This Row],[Income]]&lt;100000, "Mid", "High"))</f>
        <v>Low</v>
      </c>
      <c r="F243">
        <v>9</v>
      </c>
      <c r="G243">
        <v>2.41</v>
      </c>
      <c r="H243">
        <v>11.94</v>
      </c>
      <c r="I243" t="str">
        <f>IF(Customer_analytics[[#This Row],[TimeOnSite]]&lt;3, "Short Visit", IF(Customer_analytics[[#This Row],[TimeOnSite]]&lt;7, "Medium Visit", "Long Visit"))</f>
        <v>Long Visit</v>
      </c>
      <c r="J243">
        <v>50</v>
      </c>
      <c r="K243">
        <v>1</v>
      </c>
      <c r="L243">
        <v>6</v>
      </c>
      <c r="M243">
        <v>5</v>
      </c>
      <c r="N243">
        <v>2099</v>
      </c>
      <c r="O243">
        <v>1</v>
      </c>
    </row>
    <row r="244" spans="1:15" x14ac:dyDescent="0.35">
      <c r="A244">
        <v>8756</v>
      </c>
      <c r="B244">
        <v>18</v>
      </c>
      <c r="C244" t="s">
        <v>21</v>
      </c>
      <c r="D244">
        <v>125297</v>
      </c>
      <c r="E244" t="str">
        <f>IF(Customer_analytics[[#This Row],[Income]]&lt;50000, "Low", IF(Customer_analytics[[#This Row],[Income]]&lt;100000, "Mid", "High"))</f>
        <v>High</v>
      </c>
      <c r="F244">
        <v>44</v>
      </c>
      <c r="G244">
        <v>3.62</v>
      </c>
      <c r="H244">
        <v>5.75</v>
      </c>
      <c r="I244" t="str">
        <f>IF(Customer_analytics[[#This Row],[TimeOnSite]]&lt;3, "Short Visit", IF(Customer_analytics[[#This Row],[TimeOnSite]]&lt;7, "Medium Visit", "Long Visit"))</f>
        <v>Medium Visit</v>
      </c>
      <c r="J244">
        <v>23</v>
      </c>
      <c r="K244">
        <v>0</v>
      </c>
      <c r="L244">
        <v>3</v>
      </c>
      <c r="M244">
        <v>3</v>
      </c>
      <c r="N244">
        <v>353</v>
      </c>
      <c r="O244">
        <v>1</v>
      </c>
    </row>
    <row r="245" spans="1:15" x14ac:dyDescent="0.35">
      <c r="A245">
        <v>8758</v>
      </c>
      <c r="B245">
        <v>33</v>
      </c>
      <c r="C245" t="s">
        <v>21</v>
      </c>
      <c r="D245">
        <v>41661</v>
      </c>
      <c r="E245" t="str">
        <f>IF(Customer_analytics[[#This Row],[Income]]&lt;50000, "Low", IF(Customer_analytics[[#This Row],[Income]]&lt;100000, "Mid", "High"))</f>
        <v>Low</v>
      </c>
      <c r="F245">
        <v>16</v>
      </c>
      <c r="G245">
        <v>3.35</v>
      </c>
      <c r="H245">
        <v>8.06</v>
      </c>
      <c r="I245" t="str">
        <f>IF(Customer_analytics[[#This Row],[TimeOnSite]]&lt;3, "Short Visit", IF(Customer_analytics[[#This Row],[TimeOnSite]]&lt;7, "Medium Visit", "Long Visit"))</f>
        <v>Long Visit</v>
      </c>
      <c r="J245">
        <v>55</v>
      </c>
      <c r="K245">
        <v>17</v>
      </c>
      <c r="L245">
        <v>5</v>
      </c>
      <c r="M245">
        <v>3</v>
      </c>
      <c r="N245">
        <v>2310</v>
      </c>
      <c r="O245">
        <v>1</v>
      </c>
    </row>
    <row r="246" spans="1:15" x14ac:dyDescent="0.35">
      <c r="A246">
        <v>8764</v>
      </c>
      <c r="B246">
        <v>33</v>
      </c>
      <c r="C246" t="s">
        <v>27</v>
      </c>
      <c r="D246">
        <v>85843</v>
      </c>
      <c r="E246" t="str">
        <f>IF(Customer_analytics[[#This Row],[Income]]&lt;50000, "Low", IF(Customer_analytics[[#This Row],[Income]]&lt;100000, "Mid", "High"))</f>
        <v>Mid</v>
      </c>
      <c r="F246">
        <v>0</v>
      </c>
      <c r="G246">
        <v>4.83</v>
      </c>
      <c r="H246">
        <v>5.37</v>
      </c>
      <c r="I246" t="str">
        <f>IF(Customer_analytics[[#This Row],[TimeOnSite]]&lt;3, "Short Visit", IF(Customer_analytics[[#This Row],[TimeOnSite]]&lt;7, "Medium Visit", "Long Visit"))</f>
        <v>Medium Visit</v>
      </c>
      <c r="J246">
        <v>80</v>
      </c>
      <c r="K246">
        <v>14</v>
      </c>
      <c r="L246">
        <v>7</v>
      </c>
      <c r="M246">
        <v>3</v>
      </c>
      <c r="N246">
        <v>329</v>
      </c>
      <c r="O246">
        <v>1</v>
      </c>
    </row>
    <row r="247" spans="1:15" x14ac:dyDescent="0.35">
      <c r="A247">
        <v>8765</v>
      </c>
      <c r="B247">
        <v>25</v>
      </c>
      <c r="C247" t="s">
        <v>27</v>
      </c>
      <c r="D247">
        <v>80752</v>
      </c>
      <c r="E247" t="str">
        <f>IF(Customer_analytics[[#This Row],[Income]]&lt;50000, "Low", IF(Customer_analytics[[#This Row],[Income]]&lt;100000, "Mid", "High"))</f>
        <v>Mid</v>
      </c>
      <c r="F247">
        <v>31</v>
      </c>
      <c r="G247">
        <v>5.0199999999999996</v>
      </c>
      <c r="H247">
        <v>2.75</v>
      </c>
      <c r="I247" t="str">
        <f>IF(Customer_analytics[[#This Row],[TimeOnSite]]&lt;3, "Short Visit", IF(Customer_analytics[[#This Row],[TimeOnSite]]&lt;7, "Medium Visit", "Long Visit"))</f>
        <v>Short Visit</v>
      </c>
      <c r="J247">
        <v>11</v>
      </c>
      <c r="K247">
        <v>5</v>
      </c>
      <c r="L247">
        <v>0</v>
      </c>
      <c r="M247">
        <v>8</v>
      </c>
      <c r="N247">
        <v>3479</v>
      </c>
      <c r="O247">
        <v>1</v>
      </c>
    </row>
    <row r="248" spans="1:15" x14ac:dyDescent="0.35">
      <c r="A248">
        <v>8768</v>
      </c>
      <c r="B248">
        <v>41</v>
      </c>
      <c r="C248" t="s">
        <v>27</v>
      </c>
      <c r="D248">
        <v>114328</v>
      </c>
      <c r="E248" t="str">
        <f>IF(Customer_analytics[[#This Row],[Income]]&lt;50000, "Low", IF(Customer_analytics[[#This Row],[Income]]&lt;100000, "Mid", "High"))</f>
        <v>High</v>
      </c>
      <c r="F248">
        <v>17</v>
      </c>
      <c r="G248">
        <v>9.43</v>
      </c>
      <c r="H248">
        <v>11.41</v>
      </c>
      <c r="I248" t="str">
        <f>IF(Customer_analytics[[#This Row],[TimeOnSite]]&lt;3, "Short Visit", IF(Customer_analytics[[#This Row],[TimeOnSite]]&lt;7, "Medium Visit", "Long Visit"))</f>
        <v>Long Visit</v>
      </c>
      <c r="J248">
        <v>71</v>
      </c>
      <c r="K248">
        <v>11</v>
      </c>
      <c r="L248">
        <v>3</v>
      </c>
      <c r="M248">
        <v>3</v>
      </c>
      <c r="N248">
        <v>2470</v>
      </c>
      <c r="O248">
        <v>1</v>
      </c>
    </row>
    <row r="249" spans="1:15" x14ac:dyDescent="0.35">
      <c r="A249">
        <v>8769</v>
      </c>
      <c r="B249">
        <v>45</v>
      </c>
      <c r="C249" t="s">
        <v>27</v>
      </c>
      <c r="D249">
        <v>20765</v>
      </c>
      <c r="E249" t="str">
        <f>IF(Customer_analytics[[#This Row],[Income]]&lt;50000, "Low", IF(Customer_analytics[[#This Row],[Income]]&lt;100000, "Mid", "High"))</f>
        <v>Low</v>
      </c>
      <c r="F249">
        <v>49</v>
      </c>
      <c r="G249">
        <v>7.7</v>
      </c>
      <c r="H249">
        <v>1.24</v>
      </c>
      <c r="I249" t="str">
        <f>IF(Customer_analytics[[#This Row],[TimeOnSite]]&lt;3, "Short Visit", IF(Customer_analytics[[#This Row],[TimeOnSite]]&lt;7, "Medium Visit", "Long Visit"))</f>
        <v>Short Visit</v>
      </c>
      <c r="J249">
        <v>21</v>
      </c>
      <c r="K249">
        <v>9</v>
      </c>
      <c r="L249">
        <v>3</v>
      </c>
      <c r="M249">
        <v>9</v>
      </c>
      <c r="N249">
        <v>4519</v>
      </c>
      <c r="O249">
        <v>1</v>
      </c>
    </row>
    <row r="250" spans="1:15" x14ac:dyDescent="0.35">
      <c r="A250">
        <v>8774</v>
      </c>
      <c r="B250">
        <v>25</v>
      </c>
      <c r="C250" t="s">
        <v>27</v>
      </c>
      <c r="D250">
        <v>93271</v>
      </c>
      <c r="E250" t="str">
        <f>IF(Customer_analytics[[#This Row],[Income]]&lt;50000, "Low", IF(Customer_analytics[[#This Row],[Income]]&lt;100000, "Mid", "High"))</f>
        <v>Mid</v>
      </c>
      <c r="F250">
        <v>25</v>
      </c>
      <c r="G250">
        <v>7.95</v>
      </c>
      <c r="H250">
        <v>1.34</v>
      </c>
      <c r="I250" t="str">
        <f>IF(Customer_analytics[[#This Row],[TimeOnSite]]&lt;3, "Short Visit", IF(Customer_analytics[[#This Row],[TimeOnSite]]&lt;7, "Medium Visit", "Long Visit"))</f>
        <v>Short Visit</v>
      </c>
      <c r="J250">
        <v>27</v>
      </c>
      <c r="K250">
        <v>17</v>
      </c>
      <c r="L250">
        <v>1</v>
      </c>
      <c r="M250">
        <v>7</v>
      </c>
      <c r="N250">
        <v>3473</v>
      </c>
      <c r="O250">
        <v>1</v>
      </c>
    </row>
    <row r="251" spans="1:15" x14ac:dyDescent="0.35">
      <c r="A251">
        <v>8776</v>
      </c>
      <c r="B251">
        <v>45</v>
      </c>
      <c r="C251" t="s">
        <v>27</v>
      </c>
      <c r="D251">
        <v>67199</v>
      </c>
      <c r="E251" t="str">
        <f>IF(Customer_analytics[[#This Row],[Income]]&lt;50000, "Low", IF(Customer_analytics[[#This Row],[Income]]&lt;100000, "Mid", "High"))</f>
        <v>Mid</v>
      </c>
      <c r="F251">
        <v>27</v>
      </c>
      <c r="G251">
        <v>7.74</v>
      </c>
      <c r="H251">
        <v>14.58</v>
      </c>
      <c r="I251" t="str">
        <f>IF(Customer_analytics[[#This Row],[TimeOnSite]]&lt;3, "Short Visit", IF(Customer_analytics[[#This Row],[TimeOnSite]]&lt;7, "Medium Visit", "Long Visit"))</f>
        <v>Long Visit</v>
      </c>
      <c r="J251">
        <v>27</v>
      </c>
      <c r="K251">
        <v>8</v>
      </c>
      <c r="L251">
        <v>4</v>
      </c>
      <c r="M251">
        <v>9</v>
      </c>
      <c r="N251">
        <v>1287</v>
      </c>
      <c r="O251">
        <v>1</v>
      </c>
    </row>
    <row r="252" spans="1:15" x14ac:dyDescent="0.35">
      <c r="A252">
        <v>8795</v>
      </c>
      <c r="B252">
        <v>68</v>
      </c>
      <c r="C252" t="s">
        <v>27</v>
      </c>
      <c r="D252">
        <v>39631</v>
      </c>
      <c r="E252" t="str">
        <f>IF(Customer_analytics[[#This Row],[Income]]&lt;50000, "Low", IF(Customer_analytics[[#This Row],[Income]]&lt;100000, "Mid", "High"))</f>
        <v>Low</v>
      </c>
      <c r="F252">
        <v>26</v>
      </c>
      <c r="G252">
        <v>7.46</v>
      </c>
      <c r="H252">
        <v>6.44</v>
      </c>
      <c r="I252" t="str">
        <f>IF(Customer_analytics[[#This Row],[TimeOnSite]]&lt;3, "Short Visit", IF(Customer_analytics[[#This Row],[TimeOnSite]]&lt;7, "Medium Visit", "Long Visit"))</f>
        <v>Medium Visit</v>
      </c>
      <c r="J252">
        <v>34</v>
      </c>
      <c r="K252">
        <v>3</v>
      </c>
      <c r="L252">
        <v>4</v>
      </c>
      <c r="M252">
        <v>6</v>
      </c>
      <c r="N252">
        <v>1260</v>
      </c>
      <c r="O252">
        <v>1</v>
      </c>
    </row>
    <row r="253" spans="1:15" x14ac:dyDescent="0.35">
      <c r="A253">
        <v>8796</v>
      </c>
      <c r="B253">
        <v>22</v>
      </c>
      <c r="C253" t="s">
        <v>21</v>
      </c>
      <c r="D253">
        <v>72652</v>
      </c>
      <c r="E253" t="str">
        <f>IF(Customer_analytics[[#This Row],[Income]]&lt;50000, "Low", IF(Customer_analytics[[#This Row],[Income]]&lt;100000, "Mid", "High"))</f>
        <v>Mid</v>
      </c>
      <c r="F253">
        <v>16</v>
      </c>
      <c r="G253">
        <v>5.73</v>
      </c>
      <c r="H253">
        <v>8.5299999999999994</v>
      </c>
      <c r="I253" t="str">
        <f>IF(Customer_analytics[[#This Row],[TimeOnSite]]&lt;3, "Short Visit", IF(Customer_analytics[[#This Row],[TimeOnSite]]&lt;7, "Medium Visit", "Long Visit"))</f>
        <v>Long Visit</v>
      </c>
      <c r="J253">
        <v>96</v>
      </c>
      <c r="K253">
        <v>8</v>
      </c>
      <c r="L253">
        <v>2</v>
      </c>
      <c r="M253">
        <v>0</v>
      </c>
      <c r="N253">
        <v>3759</v>
      </c>
      <c r="O253">
        <v>1</v>
      </c>
    </row>
    <row r="254" spans="1:15" x14ac:dyDescent="0.35">
      <c r="A254">
        <v>8801</v>
      </c>
      <c r="B254">
        <v>47</v>
      </c>
      <c r="C254" t="s">
        <v>27</v>
      </c>
      <c r="D254">
        <v>57377</v>
      </c>
      <c r="E254" t="str">
        <f>IF(Customer_analytics[[#This Row],[Income]]&lt;50000, "Low", IF(Customer_analytics[[#This Row],[Income]]&lt;100000, "Mid", "High"))</f>
        <v>Mid</v>
      </c>
      <c r="F254">
        <v>43</v>
      </c>
      <c r="G254">
        <v>1.4</v>
      </c>
      <c r="H254">
        <v>0.53</v>
      </c>
      <c r="I254" t="str">
        <f>IF(Customer_analytics[[#This Row],[TimeOnSite]]&lt;3, "Short Visit", IF(Customer_analytics[[#This Row],[TimeOnSite]]&lt;7, "Medium Visit", "Long Visit"))</f>
        <v>Short Visit</v>
      </c>
      <c r="J254">
        <v>32</v>
      </c>
      <c r="K254">
        <v>12</v>
      </c>
      <c r="L254">
        <v>7</v>
      </c>
      <c r="M254">
        <v>3</v>
      </c>
      <c r="N254">
        <v>3608</v>
      </c>
      <c r="O254">
        <v>1</v>
      </c>
    </row>
    <row r="255" spans="1:15" x14ac:dyDescent="0.35">
      <c r="A255">
        <v>8802</v>
      </c>
      <c r="B255">
        <v>67</v>
      </c>
      <c r="C255" t="s">
        <v>27</v>
      </c>
      <c r="D255">
        <v>96670</v>
      </c>
      <c r="E255" t="str">
        <f>IF(Customer_analytics[[#This Row],[Income]]&lt;50000, "Low", IF(Customer_analytics[[#This Row],[Income]]&lt;100000, "Mid", "High"))</f>
        <v>Mid</v>
      </c>
      <c r="F255">
        <v>47</v>
      </c>
      <c r="G255">
        <v>9.68</v>
      </c>
      <c r="H255">
        <v>11.98</v>
      </c>
      <c r="I255" t="str">
        <f>IF(Customer_analytics[[#This Row],[TimeOnSite]]&lt;3, "Short Visit", IF(Customer_analytics[[#This Row],[TimeOnSite]]&lt;7, "Medium Visit", "Long Visit"))</f>
        <v>Long Visit</v>
      </c>
      <c r="J255">
        <v>94</v>
      </c>
      <c r="K255">
        <v>16</v>
      </c>
      <c r="L255">
        <v>7</v>
      </c>
      <c r="M255">
        <v>6</v>
      </c>
      <c r="N255">
        <v>1944</v>
      </c>
      <c r="O255">
        <v>1</v>
      </c>
    </row>
    <row r="256" spans="1:15" x14ac:dyDescent="0.35">
      <c r="A256">
        <v>8807</v>
      </c>
      <c r="B256">
        <v>35</v>
      </c>
      <c r="C256" t="s">
        <v>21</v>
      </c>
      <c r="D256">
        <v>133849</v>
      </c>
      <c r="E256" t="str">
        <f>IF(Customer_analytics[[#This Row],[Income]]&lt;50000, "Low", IF(Customer_analytics[[#This Row],[Income]]&lt;100000, "Mid", "High"))</f>
        <v>High</v>
      </c>
      <c r="F256">
        <v>33</v>
      </c>
      <c r="G256">
        <v>3.39</v>
      </c>
      <c r="H256">
        <v>9.6999999999999993</v>
      </c>
      <c r="I256" t="str">
        <f>IF(Customer_analytics[[#This Row],[TimeOnSite]]&lt;3, "Short Visit", IF(Customer_analytics[[#This Row],[TimeOnSite]]&lt;7, "Medium Visit", "Long Visit"))</f>
        <v>Long Visit</v>
      </c>
      <c r="J256">
        <v>99</v>
      </c>
      <c r="K256">
        <v>2</v>
      </c>
      <c r="L256">
        <v>8</v>
      </c>
      <c r="M256">
        <v>9</v>
      </c>
      <c r="N256">
        <v>4484</v>
      </c>
      <c r="O256">
        <v>1</v>
      </c>
    </row>
    <row r="257" spans="1:15" x14ac:dyDescent="0.35">
      <c r="A257">
        <v>8812</v>
      </c>
      <c r="B257">
        <v>38</v>
      </c>
      <c r="C257" t="s">
        <v>21</v>
      </c>
      <c r="D257">
        <v>88289</v>
      </c>
      <c r="E257" t="str">
        <f>IF(Customer_analytics[[#This Row],[Income]]&lt;50000, "Low", IF(Customer_analytics[[#This Row],[Income]]&lt;100000, "Mid", "High"))</f>
        <v>Mid</v>
      </c>
      <c r="F257">
        <v>27</v>
      </c>
      <c r="G257">
        <v>3.09</v>
      </c>
      <c r="H257">
        <v>0.62</v>
      </c>
      <c r="I257" t="str">
        <f>IF(Customer_analytics[[#This Row],[TimeOnSite]]&lt;3, "Short Visit", IF(Customer_analytics[[#This Row],[TimeOnSite]]&lt;7, "Medium Visit", "Long Visit"))</f>
        <v>Short Visit</v>
      </c>
      <c r="J257">
        <v>26</v>
      </c>
      <c r="K257">
        <v>13</v>
      </c>
      <c r="L257">
        <v>8</v>
      </c>
      <c r="M257">
        <v>2</v>
      </c>
      <c r="N257">
        <v>3232</v>
      </c>
      <c r="O257">
        <v>1</v>
      </c>
    </row>
    <row r="258" spans="1:15" x14ac:dyDescent="0.35">
      <c r="A258">
        <v>8814</v>
      </c>
      <c r="B258">
        <v>42</v>
      </c>
      <c r="C258" t="s">
        <v>27</v>
      </c>
      <c r="D258">
        <v>119676</v>
      </c>
      <c r="E258" t="str">
        <f>IF(Customer_analytics[[#This Row],[Income]]&lt;50000, "Low", IF(Customer_analytics[[#This Row],[Income]]&lt;100000, "Mid", "High"))</f>
        <v>High</v>
      </c>
      <c r="F258">
        <v>47</v>
      </c>
      <c r="G258">
        <v>4.63</v>
      </c>
      <c r="H258">
        <v>12.64</v>
      </c>
      <c r="I258" t="str">
        <f>IF(Customer_analytics[[#This Row],[TimeOnSite]]&lt;3, "Short Visit", IF(Customer_analytics[[#This Row],[TimeOnSite]]&lt;7, "Medium Visit", "Long Visit"))</f>
        <v>Long Visit</v>
      </c>
      <c r="J258">
        <v>57</v>
      </c>
      <c r="K258">
        <v>18</v>
      </c>
      <c r="L258">
        <v>9</v>
      </c>
      <c r="M258">
        <v>7</v>
      </c>
      <c r="N258">
        <v>3758</v>
      </c>
      <c r="O258">
        <v>1</v>
      </c>
    </row>
    <row r="259" spans="1:15" x14ac:dyDescent="0.35">
      <c r="A259">
        <v>8816</v>
      </c>
      <c r="B259">
        <v>44</v>
      </c>
      <c r="C259" t="s">
        <v>21</v>
      </c>
      <c r="D259">
        <v>95172</v>
      </c>
      <c r="E259" t="str">
        <f>IF(Customer_analytics[[#This Row],[Income]]&lt;50000, "Low", IF(Customer_analytics[[#This Row],[Income]]&lt;100000, "Mid", "High"))</f>
        <v>Mid</v>
      </c>
      <c r="F259">
        <v>17</v>
      </c>
      <c r="G259">
        <v>1.19</v>
      </c>
      <c r="H259">
        <v>6.62</v>
      </c>
      <c r="I259" t="str">
        <f>IF(Customer_analytics[[#This Row],[TimeOnSite]]&lt;3, "Short Visit", IF(Customer_analytics[[#This Row],[TimeOnSite]]&lt;7, "Medium Visit", "Long Visit"))</f>
        <v>Medium Visit</v>
      </c>
      <c r="J259">
        <v>3</v>
      </c>
      <c r="K259">
        <v>18</v>
      </c>
      <c r="L259">
        <v>3</v>
      </c>
      <c r="M259">
        <v>2</v>
      </c>
      <c r="N259">
        <v>3114</v>
      </c>
      <c r="O259">
        <v>1</v>
      </c>
    </row>
    <row r="260" spans="1:15" x14ac:dyDescent="0.35">
      <c r="A260">
        <v>8819</v>
      </c>
      <c r="B260">
        <v>50</v>
      </c>
      <c r="C260" t="s">
        <v>21</v>
      </c>
      <c r="D260">
        <v>61249</v>
      </c>
      <c r="E260" t="str">
        <f>IF(Customer_analytics[[#This Row],[Income]]&lt;50000, "Low", IF(Customer_analytics[[#This Row],[Income]]&lt;100000, "Mid", "High"))</f>
        <v>Mid</v>
      </c>
      <c r="F260">
        <v>15</v>
      </c>
      <c r="G260">
        <v>2.95</v>
      </c>
      <c r="H260">
        <v>12.74</v>
      </c>
      <c r="I260" t="str">
        <f>IF(Customer_analytics[[#This Row],[TimeOnSite]]&lt;3, "Short Visit", IF(Customer_analytics[[#This Row],[TimeOnSite]]&lt;7, "Medium Visit", "Long Visit"))</f>
        <v>Long Visit</v>
      </c>
      <c r="J260">
        <v>79</v>
      </c>
      <c r="K260">
        <v>10</v>
      </c>
      <c r="L260">
        <v>8</v>
      </c>
      <c r="M260">
        <v>3</v>
      </c>
      <c r="N260">
        <v>3774</v>
      </c>
      <c r="O260">
        <v>1</v>
      </c>
    </row>
    <row r="261" spans="1:15" x14ac:dyDescent="0.35">
      <c r="A261">
        <v>8820</v>
      </c>
      <c r="B261">
        <v>51</v>
      </c>
      <c r="C261" t="s">
        <v>27</v>
      </c>
      <c r="D261">
        <v>63025</v>
      </c>
      <c r="E261" t="str">
        <f>IF(Customer_analytics[[#This Row],[Income]]&lt;50000, "Low", IF(Customer_analytics[[#This Row],[Income]]&lt;100000, "Mid", "High"))</f>
        <v>Mid</v>
      </c>
      <c r="F261">
        <v>32</v>
      </c>
      <c r="G261">
        <v>2.2799999999999998</v>
      </c>
      <c r="H261">
        <v>8.8000000000000007</v>
      </c>
      <c r="I261" t="str">
        <f>IF(Customer_analytics[[#This Row],[TimeOnSite]]&lt;3, "Short Visit", IF(Customer_analytics[[#This Row],[TimeOnSite]]&lt;7, "Medium Visit", "Long Visit"))</f>
        <v>Long Visit</v>
      </c>
      <c r="J261">
        <v>90</v>
      </c>
      <c r="K261">
        <v>0</v>
      </c>
      <c r="L261">
        <v>4</v>
      </c>
      <c r="M261">
        <v>8</v>
      </c>
      <c r="N261">
        <v>1793</v>
      </c>
      <c r="O261">
        <v>1</v>
      </c>
    </row>
    <row r="262" spans="1:15" x14ac:dyDescent="0.35">
      <c r="A262">
        <v>8822</v>
      </c>
      <c r="B262">
        <v>52</v>
      </c>
      <c r="C262" t="s">
        <v>21</v>
      </c>
      <c r="D262">
        <v>105865</v>
      </c>
      <c r="E262" t="str">
        <f>IF(Customer_analytics[[#This Row],[Income]]&lt;50000, "Low", IF(Customer_analytics[[#This Row],[Income]]&lt;100000, "Mid", "High"))</f>
        <v>High</v>
      </c>
      <c r="F262">
        <v>4</v>
      </c>
      <c r="G262">
        <v>3.17</v>
      </c>
      <c r="H262">
        <v>14.84</v>
      </c>
      <c r="I262" t="str">
        <f>IF(Customer_analytics[[#This Row],[TimeOnSite]]&lt;3, "Short Visit", IF(Customer_analytics[[#This Row],[TimeOnSite]]&lt;7, "Medium Visit", "Long Visit"))</f>
        <v>Long Visit</v>
      </c>
      <c r="J262">
        <v>19</v>
      </c>
      <c r="K262">
        <v>7</v>
      </c>
      <c r="L262">
        <v>7</v>
      </c>
      <c r="M262">
        <v>8</v>
      </c>
      <c r="N262">
        <v>2017</v>
      </c>
      <c r="O262">
        <v>1</v>
      </c>
    </row>
    <row r="263" spans="1:15" x14ac:dyDescent="0.35">
      <c r="A263">
        <v>8823</v>
      </c>
      <c r="B263">
        <v>18</v>
      </c>
      <c r="C263" t="s">
        <v>27</v>
      </c>
      <c r="D263">
        <v>36713</v>
      </c>
      <c r="E263" t="str">
        <f>IF(Customer_analytics[[#This Row],[Income]]&lt;50000, "Low", IF(Customer_analytics[[#This Row],[Income]]&lt;100000, "Mid", "High"))</f>
        <v>Low</v>
      </c>
      <c r="F263">
        <v>46</v>
      </c>
      <c r="G263">
        <v>5.16</v>
      </c>
      <c r="H263">
        <v>11.67</v>
      </c>
      <c r="I263" t="str">
        <f>IF(Customer_analytics[[#This Row],[TimeOnSite]]&lt;3, "Short Visit", IF(Customer_analytics[[#This Row],[TimeOnSite]]&lt;7, "Medium Visit", "Long Visit"))</f>
        <v>Long Visit</v>
      </c>
      <c r="J263">
        <v>45</v>
      </c>
      <c r="K263">
        <v>6</v>
      </c>
      <c r="L263">
        <v>7</v>
      </c>
      <c r="M263">
        <v>3</v>
      </c>
      <c r="N263">
        <v>3816</v>
      </c>
      <c r="O263">
        <v>1</v>
      </c>
    </row>
    <row r="264" spans="1:15" x14ac:dyDescent="0.35">
      <c r="A264">
        <v>8825</v>
      </c>
      <c r="B264">
        <v>65</v>
      </c>
      <c r="C264" t="s">
        <v>21</v>
      </c>
      <c r="D264">
        <v>24858</v>
      </c>
      <c r="E264" t="str">
        <f>IF(Customer_analytics[[#This Row],[Income]]&lt;50000, "Low", IF(Customer_analytics[[#This Row],[Income]]&lt;100000, "Mid", "High"))</f>
        <v>Low</v>
      </c>
      <c r="F264">
        <v>36</v>
      </c>
      <c r="G264">
        <v>1.56</v>
      </c>
      <c r="H264">
        <v>11.71</v>
      </c>
      <c r="I264" t="str">
        <f>IF(Customer_analytics[[#This Row],[TimeOnSite]]&lt;3, "Short Visit", IF(Customer_analytics[[#This Row],[TimeOnSite]]&lt;7, "Medium Visit", "Long Visit"))</f>
        <v>Long Visit</v>
      </c>
      <c r="J264">
        <v>0</v>
      </c>
      <c r="K264">
        <v>15</v>
      </c>
      <c r="L264">
        <v>6</v>
      </c>
      <c r="M264">
        <v>4</v>
      </c>
      <c r="N264">
        <v>765</v>
      </c>
      <c r="O264">
        <v>1</v>
      </c>
    </row>
    <row r="265" spans="1:15" x14ac:dyDescent="0.35">
      <c r="A265">
        <v>8830</v>
      </c>
      <c r="B265">
        <v>48</v>
      </c>
      <c r="C265" t="s">
        <v>21</v>
      </c>
      <c r="D265">
        <v>131923</v>
      </c>
      <c r="E265" t="str">
        <f>IF(Customer_analytics[[#This Row],[Income]]&lt;50000, "Low", IF(Customer_analytics[[#This Row],[Income]]&lt;100000, "Mid", "High"))</f>
        <v>High</v>
      </c>
      <c r="F265">
        <v>10</v>
      </c>
      <c r="G265">
        <v>8.1300000000000008</v>
      </c>
      <c r="H265">
        <v>6.79</v>
      </c>
      <c r="I265" t="str">
        <f>IF(Customer_analytics[[#This Row],[TimeOnSite]]&lt;3, "Short Visit", IF(Customer_analytics[[#This Row],[TimeOnSite]]&lt;7, "Medium Visit", "Long Visit"))</f>
        <v>Medium Visit</v>
      </c>
      <c r="J265">
        <v>83</v>
      </c>
      <c r="K265">
        <v>3</v>
      </c>
      <c r="L265">
        <v>9</v>
      </c>
      <c r="M265">
        <v>0</v>
      </c>
      <c r="N265">
        <v>2976</v>
      </c>
      <c r="O265">
        <v>1</v>
      </c>
    </row>
    <row r="266" spans="1:15" x14ac:dyDescent="0.35">
      <c r="A266">
        <v>8831</v>
      </c>
      <c r="B266">
        <v>22</v>
      </c>
      <c r="C266" t="s">
        <v>21</v>
      </c>
      <c r="D266">
        <v>24539</v>
      </c>
      <c r="E266" t="str">
        <f>IF(Customer_analytics[[#This Row],[Income]]&lt;50000, "Low", IF(Customer_analytics[[#This Row],[Income]]&lt;100000, "Mid", "High"))</f>
        <v>Low</v>
      </c>
      <c r="F266">
        <v>21</v>
      </c>
      <c r="G266">
        <v>8.5299999999999994</v>
      </c>
      <c r="H266">
        <v>10.51</v>
      </c>
      <c r="I266" t="str">
        <f>IF(Customer_analytics[[#This Row],[TimeOnSite]]&lt;3, "Short Visit", IF(Customer_analytics[[#This Row],[TimeOnSite]]&lt;7, "Medium Visit", "Long Visit"))</f>
        <v>Long Visit</v>
      </c>
      <c r="J266">
        <v>79</v>
      </c>
      <c r="K266">
        <v>18</v>
      </c>
      <c r="L266">
        <v>9</v>
      </c>
      <c r="M266">
        <v>1</v>
      </c>
      <c r="N266">
        <v>413</v>
      </c>
      <c r="O266">
        <v>0</v>
      </c>
    </row>
    <row r="267" spans="1:15" x14ac:dyDescent="0.35">
      <c r="A267">
        <v>8835</v>
      </c>
      <c r="B267">
        <v>54</v>
      </c>
      <c r="C267" t="s">
        <v>27</v>
      </c>
      <c r="D267">
        <v>122207</v>
      </c>
      <c r="E267" t="str">
        <f>IF(Customer_analytics[[#This Row],[Income]]&lt;50000, "Low", IF(Customer_analytics[[#This Row],[Income]]&lt;100000, "Mid", "High"))</f>
        <v>High</v>
      </c>
      <c r="F267">
        <v>2</v>
      </c>
      <c r="G267">
        <v>5.56</v>
      </c>
      <c r="H267">
        <v>11.86</v>
      </c>
      <c r="I267" t="str">
        <f>IF(Customer_analytics[[#This Row],[TimeOnSite]]&lt;3, "Short Visit", IF(Customer_analytics[[#This Row],[TimeOnSite]]&lt;7, "Medium Visit", "Long Visit"))</f>
        <v>Long Visit</v>
      </c>
      <c r="J267">
        <v>78</v>
      </c>
      <c r="K267">
        <v>12</v>
      </c>
      <c r="L267">
        <v>7</v>
      </c>
      <c r="M267">
        <v>3</v>
      </c>
      <c r="N267">
        <v>648</v>
      </c>
      <c r="O267">
        <v>1</v>
      </c>
    </row>
    <row r="268" spans="1:15" x14ac:dyDescent="0.35">
      <c r="A268">
        <v>8836</v>
      </c>
      <c r="B268">
        <v>54</v>
      </c>
      <c r="C268" t="s">
        <v>27</v>
      </c>
      <c r="D268">
        <v>25364</v>
      </c>
      <c r="E268" t="str">
        <f>IF(Customer_analytics[[#This Row],[Income]]&lt;50000, "Low", IF(Customer_analytics[[#This Row],[Income]]&lt;100000, "Mid", "High"))</f>
        <v>Low</v>
      </c>
      <c r="F268">
        <v>41</v>
      </c>
      <c r="G268">
        <v>5.22</v>
      </c>
      <c r="H268">
        <v>9.14</v>
      </c>
      <c r="I268" t="str">
        <f>IF(Customer_analytics[[#This Row],[TimeOnSite]]&lt;3, "Short Visit", IF(Customer_analytics[[#This Row],[TimeOnSite]]&lt;7, "Medium Visit", "Long Visit"))</f>
        <v>Long Visit</v>
      </c>
      <c r="J268">
        <v>15</v>
      </c>
      <c r="K268">
        <v>2</v>
      </c>
      <c r="L268">
        <v>5</v>
      </c>
      <c r="M268">
        <v>7</v>
      </c>
      <c r="N268">
        <v>199</v>
      </c>
      <c r="O268">
        <v>1</v>
      </c>
    </row>
    <row r="269" spans="1:15" x14ac:dyDescent="0.35">
      <c r="A269">
        <v>8838</v>
      </c>
      <c r="B269">
        <v>27</v>
      </c>
      <c r="C269" t="s">
        <v>21</v>
      </c>
      <c r="D269">
        <v>79169</v>
      </c>
      <c r="E269" t="str">
        <f>IF(Customer_analytics[[#This Row],[Income]]&lt;50000, "Low", IF(Customer_analytics[[#This Row],[Income]]&lt;100000, "Mid", "High"))</f>
        <v>Mid</v>
      </c>
      <c r="F269">
        <v>16</v>
      </c>
      <c r="G269">
        <v>5.7</v>
      </c>
      <c r="H269">
        <v>10.49</v>
      </c>
      <c r="I269" t="str">
        <f>IF(Customer_analytics[[#This Row],[TimeOnSite]]&lt;3, "Short Visit", IF(Customer_analytics[[#This Row],[TimeOnSite]]&lt;7, "Medium Visit", "Long Visit"))</f>
        <v>Long Visit</v>
      </c>
      <c r="J269">
        <v>24</v>
      </c>
      <c r="K269">
        <v>16</v>
      </c>
      <c r="L269">
        <v>5</v>
      </c>
      <c r="M269">
        <v>0</v>
      </c>
      <c r="N269">
        <v>431</v>
      </c>
      <c r="O269">
        <v>1</v>
      </c>
    </row>
    <row r="270" spans="1:15" x14ac:dyDescent="0.35">
      <c r="A270">
        <v>8843</v>
      </c>
      <c r="B270">
        <v>26</v>
      </c>
      <c r="C270" t="s">
        <v>27</v>
      </c>
      <c r="D270">
        <v>124383</v>
      </c>
      <c r="E270" t="str">
        <f>IF(Customer_analytics[[#This Row],[Income]]&lt;50000, "Low", IF(Customer_analytics[[#This Row],[Income]]&lt;100000, "Mid", "High"))</f>
        <v>High</v>
      </c>
      <c r="F270">
        <v>11</v>
      </c>
      <c r="G270">
        <v>7.72</v>
      </c>
      <c r="H270">
        <v>1.65</v>
      </c>
      <c r="I270" t="str">
        <f>IF(Customer_analytics[[#This Row],[TimeOnSite]]&lt;3, "Short Visit", IF(Customer_analytics[[#This Row],[TimeOnSite]]&lt;7, "Medium Visit", "Long Visit"))</f>
        <v>Short Visit</v>
      </c>
      <c r="J270">
        <v>28</v>
      </c>
      <c r="K270">
        <v>17</v>
      </c>
      <c r="L270">
        <v>7</v>
      </c>
      <c r="M270">
        <v>9</v>
      </c>
      <c r="N270">
        <v>2309</v>
      </c>
      <c r="O270">
        <v>1</v>
      </c>
    </row>
    <row r="271" spans="1:15" x14ac:dyDescent="0.35">
      <c r="A271">
        <v>8848</v>
      </c>
      <c r="B271">
        <v>30</v>
      </c>
      <c r="C271" t="s">
        <v>21</v>
      </c>
      <c r="D271">
        <v>56370</v>
      </c>
      <c r="E271" t="str">
        <f>IF(Customer_analytics[[#This Row],[Income]]&lt;50000, "Low", IF(Customer_analytics[[#This Row],[Income]]&lt;100000, "Mid", "High"))</f>
        <v>Mid</v>
      </c>
      <c r="F271">
        <v>3</v>
      </c>
      <c r="G271">
        <v>9.75</v>
      </c>
      <c r="H271">
        <v>1.49</v>
      </c>
      <c r="I271" t="str">
        <f>IF(Customer_analytics[[#This Row],[TimeOnSite]]&lt;3, "Short Visit", IF(Customer_analytics[[#This Row],[TimeOnSite]]&lt;7, "Medium Visit", "Long Visit"))</f>
        <v>Short Visit</v>
      </c>
      <c r="J271">
        <v>62</v>
      </c>
      <c r="K271">
        <v>0</v>
      </c>
      <c r="L271">
        <v>8</v>
      </c>
      <c r="M271">
        <v>3</v>
      </c>
      <c r="N271">
        <v>2684</v>
      </c>
      <c r="O271">
        <v>1</v>
      </c>
    </row>
    <row r="272" spans="1:15" x14ac:dyDescent="0.35">
      <c r="A272">
        <v>8851</v>
      </c>
      <c r="B272">
        <v>66</v>
      </c>
      <c r="C272" t="s">
        <v>21</v>
      </c>
      <c r="D272">
        <v>137136</v>
      </c>
      <c r="E272" t="str">
        <f>IF(Customer_analytics[[#This Row],[Income]]&lt;50000, "Low", IF(Customer_analytics[[#This Row],[Income]]&lt;100000, "Mid", "High"))</f>
        <v>High</v>
      </c>
      <c r="F272">
        <v>19</v>
      </c>
      <c r="G272">
        <v>9.43</v>
      </c>
      <c r="H272">
        <v>7.2</v>
      </c>
      <c r="I272" t="str">
        <f>IF(Customer_analytics[[#This Row],[TimeOnSite]]&lt;3, "Short Visit", IF(Customer_analytics[[#This Row],[TimeOnSite]]&lt;7, "Medium Visit", "Long Visit"))</f>
        <v>Long Visit</v>
      </c>
      <c r="J272">
        <v>45</v>
      </c>
      <c r="K272">
        <v>2</v>
      </c>
      <c r="L272">
        <v>6</v>
      </c>
      <c r="M272">
        <v>9</v>
      </c>
      <c r="N272">
        <v>1724</v>
      </c>
      <c r="O272">
        <v>1</v>
      </c>
    </row>
    <row r="273" spans="1:15" x14ac:dyDescent="0.35">
      <c r="A273">
        <v>8857</v>
      </c>
      <c r="B273">
        <v>25</v>
      </c>
      <c r="C273" t="s">
        <v>21</v>
      </c>
      <c r="D273">
        <v>25131</v>
      </c>
      <c r="E273" t="str">
        <f>IF(Customer_analytics[[#This Row],[Income]]&lt;50000, "Low", IF(Customer_analytics[[#This Row],[Income]]&lt;100000, "Mid", "High"))</f>
        <v>Low</v>
      </c>
      <c r="F273">
        <v>14</v>
      </c>
      <c r="G273">
        <v>1.1000000000000001</v>
      </c>
      <c r="H273">
        <v>14.87</v>
      </c>
      <c r="I273" t="str">
        <f>IF(Customer_analytics[[#This Row],[TimeOnSite]]&lt;3, "Short Visit", IF(Customer_analytics[[#This Row],[TimeOnSite]]&lt;7, "Medium Visit", "Long Visit"))</f>
        <v>Long Visit</v>
      </c>
      <c r="J273">
        <v>61</v>
      </c>
      <c r="K273">
        <v>11</v>
      </c>
      <c r="L273">
        <v>4</v>
      </c>
      <c r="M273">
        <v>0</v>
      </c>
      <c r="N273">
        <v>1048</v>
      </c>
      <c r="O273">
        <v>1</v>
      </c>
    </row>
    <row r="274" spans="1:15" x14ac:dyDescent="0.35">
      <c r="A274">
        <v>8861</v>
      </c>
      <c r="B274">
        <v>20</v>
      </c>
      <c r="C274" t="s">
        <v>27</v>
      </c>
      <c r="D274">
        <v>77371</v>
      </c>
      <c r="E274" t="str">
        <f>IF(Customer_analytics[[#This Row],[Income]]&lt;50000, "Low", IF(Customer_analytics[[#This Row],[Income]]&lt;100000, "Mid", "High"))</f>
        <v>Mid</v>
      </c>
      <c r="F274">
        <v>5</v>
      </c>
      <c r="G274">
        <v>6.27</v>
      </c>
      <c r="H274">
        <v>13.34</v>
      </c>
      <c r="I274" t="str">
        <f>IF(Customer_analytics[[#This Row],[TimeOnSite]]&lt;3, "Short Visit", IF(Customer_analytics[[#This Row],[TimeOnSite]]&lt;7, "Medium Visit", "Long Visit"))</f>
        <v>Long Visit</v>
      </c>
      <c r="J274">
        <v>72</v>
      </c>
      <c r="K274">
        <v>9</v>
      </c>
      <c r="L274">
        <v>9</v>
      </c>
      <c r="M274">
        <v>5</v>
      </c>
      <c r="N274">
        <v>1531</v>
      </c>
      <c r="O274">
        <v>1</v>
      </c>
    </row>
    <row r="275" spans="1:15" x14ac:dyDescent="0.35">
      <c r="A275">
        <v>8863</v>
      </c>
      <c r="B275">
        <v>29</v>
      </c>
      <c r="C275" t="s">
        <v>21</v>
      </c>
      <c r="D275">
        <v>99139</v>
      </c>
      <c r="E275" t="str">
        <f>IF(Customer_analytics[[#This Row],[Income]]&lt;50000, "Low", IF(Customer_analytics[[#This Row],[Income]]&lt;100000, "Mid", "High"))</f>
        <v>Mid</v>
      </c>
      <c r="F275">
        <v>31</v>
      </c>
      <c r="G275">
        <v>1.68</v>
      </c>
      <c r="H275">
        <v>1.39</v>
      </c>
      <c r="I275" t="str">
        <f>IF(Customer_analytics[[#This Row],[TimeOnSite]]&lt;3, "Short Visit", IF(Customer_analytics[[#This Row],[TimeOnSite]]&lt;7, "Medium Visit", "Long Visit"))</f>
        <v>Short Visit</v>
      </c>
      <c r="J275">
        <v>44</v>
      </c>
      <c r="K275">
        <v>14</v>
      </c>
      <c r="L275">
        <v>2</v>
      </c>
      <c r="M275">
        <v>5</v>
      </c>
      <c r="N275">
        <v>726</v>
      </c>
      <c r="O275">
        <v>0</v>
      </c>
    </row>
    <row r="276" spans="1:15" x14ac:dyDescent="0.35">
      <c r="A276">
        <v>8864</v>
      </c>
      <c r="B276">
        <v>18</v>
      </c>
      <c r="C276" t="s">
        <v>27</v>
      </c>
      <c r="D276">
        <v>36246</v>
      </c>
      <c r="E276" t="str">
        <f>IF(Customer_analytics[[#This Row],[Income]]&lt;50000, "Low", IF(Customer_analytics[[#This Row],[Income]]&lt;100000, "Mid", "High"))</f>
        <v>Low</v>
      </c>
      <c r="F276">
        <v>16</v>
      </c>
      <c r="G276">
        <v>8.27</v>
      </c>
      <c r="H276">
        <v>6.71</v>
      </c>
      <c r="I276" t="str">
        <f>IF(Customer_analytics[[#This Row],[TimeOnSite]]&lt;3, "Short Visit", IF(Customer_analytics[[#This Row],[TimeOnSite]]&lt;7, "Medium Visit", "Long Visit"))</f>
        <v>Medium Visit</v>
      </c>
      <c r="J276">
        <v>84</v>
      </c>
      <c r="K276">
        <v>15</v>
      </c>
      <c r="L276">
        <v>3</v>
      </c>
      <c r="M276">
        <v>5</v>
      </c>
      <c r="N276">
        <v>192</v>
      </c>
      <c r="O276">
        <v>1</v>
      </c>
    </row>
    <row r="277" spans="1:15" x14ac:dyDescent="0.35">
      <c r="A277">
        <v>8866</v>
      </c>
      <c r="B277">
        <v>22</v>
      </c>
      <c r="C277" t="s">
        <v>21</v>
      </c>
      <c r="D277">
        <v>61209</v>
      </c>
      <c r="E277" t="str">
        <f>IF(Customer_analytics[[#This Row],[Income]]&lt;50000, "Low", IF(Customer_analytics[[#This Row],[Income]]&lt;100000, "Mid", "High"))</f>
        <v>Mid</v>
      </c>
      <c r="F277">
        <v>38</v>
      </c>
      <c r="G277">
        <v>3.91</v>
      </c>
      <c r="H277">
        <v>6.87</v>
      </c>
      <c r="I277" t="str">
        <f>IF(Customer_analytics[[#This Row],[TimeOnSite]]&lt;3, "Short Visit", IF(Customer_analytics[[#This Row],[TimeOnSite]]&lt;7, "Medium Visit", "Long Visit"))</f>
        <v>Medium Visit</v>
      </c>
      <c r="J277">
        <v>94</v>
      </c>
      <c r="K277">
        <v>12</v>
      </c>
      <c r="L277">
        <v>6</v>
      </c>
      <c r="M277">
        <v>7</v>
      </c>
      <c r="N277">
        <v>2874</v>
      </c>
      <c r="O277">
        <v>1</v>
      </c>
    </row>
    <row r="278" spans="1:15" x14ac:dyDescent="0.35">
      <c r="A278">
        <v>8872</v>
      </c>
      <c r="B278">
        <v>40</v>
      </c>
      <c r="C278" t="s">
        <v>21</v>
      </c>
      <c r="D278">
        <v>148038</v>
      </c>
      <c r="E278" t="str">
        <f>IF(Customer_analytics[[#This Row],[Income]]&lt;50000, "Low", IF(Customer_analytics[[#This Row],[Income]]&lt;100000, "Mid", "High"))</f>
        <v>High</v>
      </c>
      <c r="F278">
        <v>45</v>
      </c>
      <c r="G278">
        <v>3.47</v>
      </c>
      <c r="H278">
        <v>5.79</v>
      </c>
      <c r="I278" t="str">
        <f>IF(Customer_analytics[[#This Row],[TimeOnSite]]&lt;3, "Short Visit", IF(Customer_analytics[[#This Row],[TimeOnSite]]&lt;7, "Medium Visit", "Long Visit"))</f>
        <v>Medium Visit</v>
      </c>
      <c r="J278">
        <v>54</v>
      </c>
      <c r="K278">
        <v>8</v>
      </c>
      <c r="L278">
        <v>0</v>
      </c>
      <c r="M278">
        <v>8</v>
      </c>
      <c r="N278">
        <v>2412</v>
      </c>
      <c r="O278">
        <v>1</v>
      </c>
    </row>
    <row r="279" spans="1:15" x14ac:dyDescent="0.35">
      <c r="A279">
        <v>8876</v>
      </c>
      <c r="B279">
        <v>31</v>
      </c>
      <c r="C279" t="s">
        <v>21</v>
      </c>
      <c r="D279">
        <v>146560</v>
      </c>
      <c r="E279" t="str">
        <f>IF(Customer_analytics[[#This Row],[Income]]&lt;50000, "Low", IF(Customer_analytics[[#This Row],[Income]]&lt;100000, "Mid", "High"))</f>
        <v>High</v>
      </c>
      <c r="F279">
        <v>38</v>
      </c>
      <c r="G279">
        <v>6.31</v>
      </c>
      <c r="H279">
        <v>5.0599999999999996</v>
      </c>
      <c r="I279" t="str">
        <f>IF(Customer_analytics[[#This Row],[TimeOnSite]]&lt;3, "Short Visit", IF(Customer_analytics[[#This Row],[TimeOnSite]]&lt;7, "Medium Visit", "Long Visit"))</f>
        <v>Medium Visit</v>
      </c>
      <c r="J279">
        <v>20</v>
      </c>
      <c r="K279">
        <v>9</v>
      </c>
      <c r="L279">
        <v>8</v>
      </c>
      <c r="M279">
        <v>9</v>
      </c>
      <c r="N279">
        <v>3840</v>
      </c>
      <c r="O279">
        <v>1</v>
      </c>
    </row>
    <row r="280" spans="1:15" x14ac:dyDescent="0.35">
      <c r="A280">
        <v>8883</v>
      </c>
      <c r="B280">
        <v>55</v>
      </c>
      <c r="C280" t="s">
        <v>21</v>
      </c>
      <c r="D280">
        <v>24192</v>
      </c>
      <c r="E280" t="str">
        <f>IF(Customer_analytics[[#This Row],[Income]]&lt;50000, "Low", IF(Customer_analytics[[#This Row],[Income]]&lt;100000, "Mid", "High"))</f>
        <v>Low</v>
      </c>
      <c r="F280">
        <v>1</v>
      </c>
      <c r="G280">
        <v>5.68</v>
      </c>
      <c r="H280">
        <v>9.39</v>
      </c>
      <c r="I280" t="str">
        <f>IF(Customer_analytics[[#This Row],[TimeOnSite]]&lt;3, "Short Visit", IF(Customer_analytics[[#This Row],[TimeOnSite]]&lt;7, "Medium Visit", "Long Visit"))</f>
        <v>Long Visit</v>
      </c>
      <c r="J280">
        <v>24</v>
      </c>
      <c r="K280">
        <v>19</v>
      </c>
      <c r="L280">
        <v>3</v>
      </c>
      <c r="M280">
        <v>3</v>
      </c>
      <c r="N280">
        <v>1561</v>
      </c>
      <c r="O280">
        <v>1</v>
      </c>
    </row>
    <row r="281" spans="1:15" x14ac:dyDescent="0.35">
      <c r="A281">
        <v>8884</v>
      </c>
      <c r="B281">
        <v>67</v>
      </c>
      <c r="C281" t="s">
        <v>21</v>
      </c>
      <c r="D281">
        <v>36128</v>
      </c>
      <c r="E281" t="str">
        <f>IF(Customer_analytics[[#This Row],[Income]]&lt;50000, "Low", IF(Customer_analytics[[#This Row],[Income]]&lt;100000, "Mid", "High"))</f>
        <v>Low</v>
      </c>
      <c r="F281">
        <v>11</v>
      </c>
      <c r="G281">
        <v>6.2</v>
      </c>
      <c r="H281">
        <v>5.6</v>
      </c>
      <c r="I281" t="str">
        <f>IF(Customer_analytics[[#This Row],[TimeOnSite]]&lt;3, "Short Visit", IF(Customer_analytics[[#This Row],[TimeOnSite]]&lt;7, "Medium Visit", "Long Visit"))</f>
        <v>Medium Visit</v>
      </c>
      <c r="J281">
        <v>81</v>
      </c>
      <c r="K281">
        <v>17</v>
      </c>
      <c r="L281">
        <v>6</v>
      </c>
      <c r="M281">
        <v>9</v>
      </c>
      <c r="N281">
        <v>1704</v>
      </c>
      <c r="O281">
        <v>1</v>
      </c>
    </row>
    <row r="282" spans="1:15" x14ac:dyDescent="0.35">
      <c r="A282">
        <v>8887</v>
      </c>
      <c r="B282">
        <v>47</v>
      </c>
      <c r="C282" t="s">
        <v>21</v>
      </c>
      <c r="D282">
        <v>137028</v>
      </c>
      <c r="E282" t="str">
        <f>IF(Customer_analytics[[#This Row],[Income]]&lt;50000, "Low", IF(Customer_analytics[[#This Row],[Income]]&lt;100000, "Mid", "High"))</f>
        <v>High</v>
      </c>
      <c r="F282">
        <v>7</v>
      </c>
      <c r="G282">
        <v>8.5299999999999994</v>
      </c>
      <c r="H282">
        <v>11.87</v>
      </c>
      <c r="I282" t="str">
        <f>IF(Customer_analytics[[#This Row],[TimeOnSite]]&lt;3, "Short Visit", IF(Customer_analytics[[#This Row],[TimeOnSite]]&lt;7, "Medium Visit", "Long Visit"))</f>
        <v>Long Visit</v>
      </c>
      <c r="J282">
        <v>88</v>
      </c>
      <c r="K282">
        <v>7</v>
      </c>
      <c r="L282">
        <v>0</v>
      </c>
      <c r="M282">
        <v>8</v>
      </c>
      <c r="N282">
        <v>1197</v>
      </c>
      <c r="O282">
        <v>1</v>
      </c>
    </row>
    <row r="283" spans="1:15" x14ac:dyDescent="0.35">
      <c r="A283">
        <v>8889</v>
      </c>
      <c r="B283">
        <v>44</v>
      </c>
      <c r="C283" t="s">
        <v>21</v>
      </c>
      <c r="D283">
        <v>145176</v>
      </c>
      <c r="E283" t="str">
        <f>IF(Customer_analytics[[#This Row],[Income]]&lt;50000, "Low", IF(Customer_analytics[[#This Row],[Income]]&lt;100000, "Mid", "High"))</f>
        <v>High</v>
      </c>
      <c r="F283">
        <v>23</v>
      </c>
      <c r="G283">
        <v>2.59</v>
      </c>
      <c r="H283">
        <v>2</v>
      </c>
      <c r="I283" t="str">
        <f>IF(Customer_analytics[[#This Row],[TimeOnSite]]&lt;3, "Short Visit", IF(Customer_analytics[[#This Row],[TimeOnSite]]&lt;7, "Medium Visit", "Long Visit"))</f>
        <v>Short Visit</v>
      </c>
      <c r="J283">
        <v>97</v>
      </c>
      <c r="K283">
        <v>3</v>
      </c>
      <c r="L283">
        <v>2</v>
      </c>
      <c r="M283">
        <v>3</v>
      </c>
      <c r="N283">
        <v>2733</v>
      </c>
      <c r="O283">
        <v>0</v>
      </c>
    </row>
    <row r="284" spans="1:15" x14ac:dyDescent="0.35">
      <c r="A284">
        <v>8891</v>
      </c>
      <c r="B284">
        <v>51</v>
      </c>
      <c r="C284" t="s">
        <v>21</v>
      </c>
      <c r="D284">
        <v>42778</v>
      </c>
      <c r="E284" t="str">
        <f>IF(Customer_analytics[[#This Row],[Income]]&lt;50000, "Low", IF(Customer_analytics[[#This Row],[Income]]&lt;100000, "Mid", "High"))</f>
        <v>Low</v>
      </c>
      <c r="F284">
        <v>24</v>
      </c>
      <c r="G284">
        <v>3.5</v>
      </c>
      <c r="H284">
        <v>8.18</v>
      </c>
      <c r="I284" t="str">
        <f>IF(Customer_analytics[[#This Row],[TimeOnSite]]&lt;3, "Short Visit", IF(Customer_analytics[[#This Row],[TimeOnSite]]&lt;7, "Medium Visit", "Long Visit"))</f>
        <v>Long Visit</v>
      </c>
      <c r="J284">
        <v>47</v>
      </c>
      <c r="K284">
        <v>15</v>
      </c>
      <c r="L284">
        <v>3</v>
      </c>
      <c r="M284">
        <v>9</v>
      </c>
      <c r="N284">
        <v>1497</v>
      </c>
      <c r="O284">
        <v>1</v>
      </c>
    </row>
    <row r="285" spans="1:15" x14ac:dyDescent="0.35">
      <c r="A285">
        <v>8893</v>
      </c>
      <c r="B285">
        <v>55</v>
      </c>
      <c r="C285" t="s">
        <v>21</v>
      </c>
      <c r="D285">
        <v>36708</v>
      </c>
      <c r="E285" t="str">
        <f>IF(Customer_analytics[[#This Row],[Income]]&lt;50000, "Low", IF(Customer_analytics[[#This Row],[Income]]&lt;100000, "Mid", "High"))</f>
        <v>Low</v>
      </c>
      <c r="F285">
        <v>13</v>
      </c>
      <c r="G285">
        <v>3.03</v>
      </c>
      <c r="H285">
        <v>10.9</v>
      </c>
      <c r="I285" t="str">
        <f>IF(Customer_analytics[[#This Row],[TimeOnSite]]&lt;3, "Short Visit", IF(Customer_analytics[[#This Row],[TimeOnSite]]&lt;7, "Medium Visit", "Long Visit"))</f>
        <v>Long Visit</v>
      </c>
      <c r="J285">
        <v>2</v>
      </c>
      <c r="K285">
        <v>17</v>
      </c>
      <c r="L285">
        <v>4</v>
      </c>
      <c r="M285">
        <v>7</v>
      </c>
      <c r="N285">
        <v>1536</v>
      </c>
      <c r="O285">
        <v>1</v>
      </c>
    </row>
    <row r="286" spans="1:15" x14ac:dyDescent="0.35">
      <c r="A286">
        <v>8897</v>
      </c>
      <c r="B286">
        <v>47</v>
      </c>
      <c r="C286" t="s">
        <v>27</v>
      </c>
      <c r="D286">
        <v>59412</v>
      </c>
      <c r="E286" t="str">
        <f>IF(Customer_analytics[[#This Row],[Income]]&lt;50000, "Low", IF(Customer_analytics[[#This Row],[Income]]&lt;100000, "Mid", "High"))</f>
        <v>Mid</v>
      </c>
      <c r="F286">
        <v>31</v>
      </c>
      <c r="G286">
        <v>5.41</v>
      </c>
      <c r="H286">
        <v>7.3</v>
      </c>
      <c r="I286" t="str">
        <f>IF(Customer_analytics[[#This Row],[TimeOnSite]]&lt;3, "Short Visit", IF(Customer_analytics[[#This Row],[TimeOnSite]]&lt;7, "Medium Visit", "Long Visit"))</f>
        <v>Long Visit</v>
      </c>
      <c r="J286">
        <v>19</v>
      </c>
      <c r="K286">
        <v>0</v>
      </c>
      <c r="L286">
        <v>3</v>
      </c>
      <c r="M286">
        <v>0</v>
      </c>
      <c r="N286">
        <v>4965</v>
      </c>
      <c r="O286">
        <v>1</v>
      </c>
    </row>
    <row r="287" spans="1:15" x14ac:dyDescent="0.35">
      <c r="A287">
        <v>8899</v>
      </c>
      <c r="B287">
        <v>68</v>
      </c>
      <c r="C287" t="s">
        <v>27</v>
      </c>
      <c r="D287">
        <v>81196</v>
      </c>
      <c r="E287" t="str">
        <f>IF(Customer_analytics[[#This Row],[Income]]&lt;50000, "Low", IF(Customer_analytics[[#This Row],[Income]]&lt;100000, "Mid", "High"))</f>
        <v>Mid</v>
      </c>
      <c r="F287">
        <v>20</v>
      </c>
      <c r="G287">
        <v>9.7799999999999994</v>
      </c>
      <c r="H287">
        <v>9.14</v>
      </c>
      <c r="I287" t="str">
        <f>IF(Customer_analytics[[#This Row],[TimeOnSite]]&lt;3, "Short Visit", IF(Customer_analytics[[#This Row],[TimeOnSite]]&lt;7, "Medium Visit", "Long Visit"))</f>
        <v>Long Visit</v>
      </c>
      <c r="J287">
        <v>80</v>
      </c>
      <c r="K287">
        <v>0</v>
      </c>
      <c r="L287">
        <v>3</v>
      </c>
      <c r="M287">
        <v>3</v>
      </c>
      <c r="N287">
        <v>3062</v>
      </c>
      <c r="O287">
        <v>1</v>
      </c>
    </row>
    <row r="288" spans="1:15" x14ac:dyDescent="0.35">
      <c r="A288">
        <v>8903</v>
      </c>
      <c r="B288">
        <v>21</v>
      </c>
      <c r="C288" t="s">
        <v>27</v>
      </c>
      <c r="D288">
        <v>89434</v>
      </c>
      <c r="E288" t="str">
        <f>IF(Customer_analytics[[#This Row],[Income]]&lt;50000, "Low", IF(Customer_analytics[[#This Row],[Income]]&lt;100000, "Mid", "High"))</f>
        <v>Mid</v>
      </c>
      <c r="F288">
        <v>28</v>
      </c>
      <c r="G288">
        <v>9.59</v>
      </c>
      <c r="H288">
        <v>10.85</v>
      </c>
      <c r="I288" t="str">
        <f>IF(Customer_analytics[[#This Row],[TimeOnSite]]&lt;3, "Short Visit", IF(Customer_analytics[[#This Row],[TimeOnSite]]&lt;7, "Medium Visit", "Long Visit"))</f>
        <v>Long Visit</v>
      </c>
      <c r="J288">
        <v>97</v>
      </c>
      <c r="K288">
        <v>2</v>
      </c>
      <c r="L288">
        <v>6</v>
      </c>
      <c r="M288">
        <v>4</v>
      </c>
      <c r="N288">
        <v>844</v>
      </c>
      <c r="O288">
        <v>1</v>
      </c>
    </row>
    <row r="289" spans="1:15" x14ac:dyDescent="0.35">
      <c r="A289">
        <v>8904</v>
      </c>
      <c r="B289">
        <v>27</v>
      </c>
      <c r="C289" t="s">
        <v>21</v>
      </c>
      <c r="D289">
        <v>102755</v>
      </c>
      <c r="E289" t="str">
        <f>IF(Customer_analytics[[#This Row],[Income]]&lt;50000, "Low", IF(Customer_analytics[[#This Row],[Income]]&lt;100000, "Mid", "High"))</f>
        <v>High</v>
      </c>
      <c r="F289">
        <v>22</v>
      </c>
      <c r="G289">
        <v>8.7799999999999994</v>
      </c>
      <c r="H289">
        <v>11.99</v>
      </c>
      <c r="I289" t="str">
        <f>IF(Customer_analytics[[#This Row],[TimeOnSite]]&lt;3, "Short Visit", IF(Customer_analytics[[#This Row],[TimeOnSite]]&lt;7, "Medium Visit", "Long Visit"))</f>
        <v>Long Visit</v>
      </c>
      <c r="J289">
        <v>79</v>
      </c>
      <c r="K289">
        <v>17</v>
      </c>
      <c r="L289">
        <v>2</v>
      </c>
      <c r="M289">
        <v>9</v>
      </c>
      <c r="N289">
        <v>1403</v>
      </c>
      <c r="O289">
        <v>1</v>
      </c>
    </row>
    <row r="290" spans="1:15" x14ac:dyDescent="0.35">
      <c r="A290">
        <v>8906</v>
      </c>
      <c r="B290">
        <v>27</v>
      </c>
      <c r="C290" t="s">
        <v>21</v>
      </c>
      <c r="D290">
        <v>55546</v>
      </c>
      <c r="E290" t="str">
        <f>IF(Customer_analytics[[#This Row],[Income]]&lt;50000, "Low", IF(Customer_analytics[[#This Row],[Income]]&lt;100000, "Mid", "High"))</f>
        <v>Mid</v>
      </c>
      <c r="F290">
        <v>20</v>
      </c>
      <c r="G290">
        <v>4.1500000000000004</v>
      </c>
      <c r="H290">
        <v>6.62</v>
      </c>
      <c r="I290" t="str">
        <f>IF(Customer_analytics[[#This Row],[TimeOnSite]]&lt;3, "Short Visit", IF(Customer_analytics[[#This Row],[TimeOnSite]]&lt;7, "Medium Visit", "Long Visit"))</f>
        <v>Medium Visit</v>
      </c>
      <c r="J290">
        <v>71</v>
      </c>
      <c r="K290">
        <v>5</v>
      </c>
      <c r="L290">
        <v>2</v>
      </c>
      <c r="M290">
        <v>2</v>
      </c>
      <c r="N290">
        <v>2618</v>
      </c>
      <c r="O290">
        <v>1</v>
      </c>
    </row>
    <row r="291" spans="1:15" x14ac:dyDescent="0.35">
      <c r="A291">
        <v>8910</v>
      </c>
      <c r="B291">
        <v>22</v>
      </c>
      <c r="C291" t="s">
        <v>21</v>
      </c>
      <c r="D291">
        <v>144556</v>
      </c>
      <c r="E291" t="str">
        <f>IF(Customer_analytics[[#This Row],[Income]]&lt;50000, "Low", IF(Customer_analytics[[#This Row],[Income]]&lt;100000, "Mid", "High"))</f>
        <v>High</v>
      </c>
      <c r="F291">
        <v>34</v>
      </c>
      <c r="G291">
        <v>5.81</v>
      </c>
      <c r="H291">
        <v>13.23</v>
      </c>
      <c r="I291" t="str">
        <f>IF(Customer_analytics[[#This Row],[TimeOnSite]]&lt;3, "Short Visit", IF(Customer_analytics[[#This Row],[TimeOnSite]]&lt;7, "Medium Visit", "Long Visit"))</f>
        <v>Long Visit</v>
      </c>
      <c r="J291">
        <v>37</v>
      </c>
      <c r="K291">
        <v>10</v>
      </c>
      <c r="L291">
        <v>3</v>
      </c>
      <c r="M291">
        <v>2</v>
      </c>
      <c r="N291">
        <v>4963</v>
      </c>
      <c r="O291">
        <v>1</v>
      </c>
    </row>
    <row r="292" spans="1:15" x14ac:dyDescent="0.35">
      <c r="A292">
        <v>8911</v>
      </c>
      <c r="B292">
        <v>51</v>
      </c>
      <c r="C292" t="s">
        <v>27</v>
      </c>
      <c r="D292">
        <v>98059</v>
      </c>
      <c r="E292" t="str">
        <f>IF(Customer_analytics[[#This Row],[Income]]&lt;50000, "Low", IF(Customer_analytics[[#This Row],[Income]]&lt;100000, "Mid", "High"))</f>
        <v>Mid</v>
      </c>
      <c r="F292">
        <v>4</v>
      </c>
      <c r="G292">
        <v>3.63</v>
      </c>
      <c r="H292">
        <v>2.75</v>
      </c>
      <c r="I292" t="str">
        <f>IF(Customer_analytics[[#This Row],[TimeOnSite]]&lt;3, "Short Visit", IF(Customer_analytics[[#This Row],[TimeOnSite]]&lt;7, "Medium Visit", "Long Visit"))</f>
        <v>Short Visit</v>
      </c>
      <c r="J292">
        <v>63</v>
      </c>
      <c r="K292">
        <v>4</v>
      </c>
      <c r="L292">
        <v>2</v>
      </c>
      <c r="M292">
        <v>2</v>
      </c>
      <c r="N292">
        <v>506</v>
      </c>
      <c r="O292">
        <v>0</v>
      </c>
    </row>
    <row r="293" spans="1:15" x14ac:dyDescent="0.35">
      <c r="A293">
        <v>8914</v>
      </c>
      <c r="B293">
        <v>30</v>
      </c>
      <c r="C293" t="s">
        <v>21</v>
      </c>
      <c r="D293">
        <v>42030</v>
      </c>
      <c r="E293" t="str">
        <f>IF(Customer_analytics[[#This Row],[Income]]&lt;50000, "Low", IF(Customer_analytics[[#This Row],[Income]]&lt;100000, "Mid", "High"))</f>
        <v>Low</v>
      </c>
      <c r="F293">
        <v>6</v>
      </c>
      <c r="G293">
        <v>3.7</v>
      </c>
      <c r="H293">
        <v>1.99</v>
      </c>
      <c r="I293" t="str">
        <f>IF(Customer_analytics[[#This Row],[TimeOnSite]]&lt;3, "Short Visit", IF(Customer_analytics[[#This Row],[TimeOnSite]]&lt;7, "Medium Visit", "Long Visit"))</f>
        <v>Short Visit</v>
      </c>
      <c r="J293">
        <v>91</v>
      </c>
      <c r="K293">
        <v>0</v>
      </c>
      <c r="L293">
        <v>5</v>
      </c>
      <c r="M293">
        <v>0</v>
      </c>
      <c r="N293">
        <v>2999</v>
      </c>
      <c r="O293">
        <v>0</v>
      </c>
    </row>
    <row r="294" spans="1:15" x14ac:dyDescent="0.35">
      <c r="A294">
        <v>8916</v>
      </c>
      <c r="B294">
        <v>60</v>
      </c>
      <c r="C294" t="s">
        <v>27</v>
      </c>
      <c r="D294">
        <v>60376</v>
      </c>
      <c r="E294" t="str">
        <f>IF(Customer_analytics[[#This Row],[Income]]&lt;50000, "Low", IF(Customer_analytics[[#This Row],[Income]]&lt;100000, "Mid", "High"))</f>
        <v>Mid</v>
      </c>
      <c r="F294">
        <v>16</v>
      </c>
      <c r="G294">
        <v>7.96</v>
      </c>
      <c r="H294">
        <v>5.98</v>
      </c>
      <c r="I294" t="str">
        <f>IF(Customer_analytics[[#This Row],[TimeOnSite]]&lt;3, "Short Visit", IF(Customer_analytics[[#This Row],[TimeOnSite]]&lt;7, "Medium Visit", "Long Visit"))</f>
        <v>Medium Visit</v>
      </c>
      <c r="J294">
        <v>60</v>
      </c>
      <c r="K294">
        <v>17</v>
      </c>
      <c r="L294">
        <v>3</v>
      </c>
      <c r="M294">
        <v>8</v>
      </c>
      <c r="N294">
        <v>974</v>
      </c>
      <c r="O294">
        <v>1</v>
      </c>
    </row>
    <row r="295" spans="1:15" x14ac:dyDescent="0.35">
      <c r="A295">
        <v>8921</v>
      </c>
      <c r="B295">
        <v>40</v>
      </c>
      <c r="C295" t="s">
        <v>21</v>
      </c>
      <c r="D295">
        <v>129518</v>
      </c>
      <c r="E295" t="str">
        <f>IF(Customer_analytics[[#This Row],[Income]]&lt;50000, "Low", IF(Customer_analytics[[#This Row],[Income]]&lt;100000, "Mid", "High"))</f>
        <v>High</v>
      </c>
      <c r="F295">
        <v>15</v>
      </c>
      <c r="G295">
        <v>6.66</v>
      </c>
      <c r="H295">
        <v>2.4</v>
      </c>
      <c r="I295" t="str">
        <f>IF(Customer_analytics[[#This Row],[TimeOnSite]]&lt;3, "Short Visit", IF(Customer_analytics[[#This Row],[TimeOnSite]]&lt;7, "Medium Visit", "Long Visit"))</f>
        <v>Short Visit</v>
      </c>
      <c r="J295">
        <v>49</v>
      </c>
      <c r="K295">
        <v>19</v>
      </c>
      <c r="L295">
        <v>2</v>
      </c>
      <c r="M295">
        <v>3</v>
      </c>
      <c r="N295">
        <v>2701</v>
      </c>
      <c r="O295">
        <v>1</v>
      </c>
    </row>
    <row r="296" spans="1:15" x14ac:dyDescent="0.35">
      <c r="A296">
        <v>8925</v>
      </c>
      <c r="B296">
        <v>33</v>
      </c>
      <c r="C296" t="s">
        <v>27</v>
      </c>
      <c r="D296">
        <v>107508</v>
      </c>
      <c r="E296" t="str">
        <f>IF(Customer_analytics[[#This Row],[Income]]&lt;50000, "Low", IF(Customer_analytics[[#This Row],[Income]]&lt;100000, "Mid", "High"))</f>
        <v>High</v>
      </c>
      <c r="F296">
        <v>45</v>
      </c>
      <c r="G296">
        <v>7.34</v>
      </c>
      <c r="H296">
        <v>2.59</v>
      </c>
      <c r="I296" t="str">
        <f>IF(Customer_analytics[[#This Row],[TimeOnSite]]&lt;3, "Short Visit", IF(Customer_analytics[[#This Row],[TimeOnSite]]&lt;7, "Medium Visit", "Long Visit"))</f>
        <v>Short Visit</v>
      </c>
      <c r="J296">
        <v>10</v>
      </c>
      <c r="K296">
        <v>4</v>
      </c>
      <c r="L296">
        <v>4</v>
      </c>
      <c r="M296">
        <v>9</v>
      </c>
      <c r="N296">
        <v>1418</v>
      </c>
      <c r="O296">
        <v>1</v>
      </c>
    </row>
    <row r="297" spans="1:15" x14ac:dyDescent="0.35">
      <c r="A297">
        <v>8926</v>
      </c>
      <c r="B297">
        <v>25</v>
      </c>
      <c r="C297" t="s">
        <v>27</v>
      </c>
      <c r="D297">
        <v>45493</v>
      </c>
      <c r="E297" t="str">
        <f>IF(Customer_analytics[[#This Row],[Income]]&lt;50000, "Low", IF(Customer_analytics[[#This Row],[Income]]&lt;100000, "Mid", "High"))</f>
        <v>Low</v>
      </c>
      <c r="F297">
        <v>7</v>
      </c>
      <c r="G297">
        <v>4.21</v>
      </c>
      <c r="H297">
        <v>3.87</v>
      </c>
      <c r="I297" t="str">
        <f>IF(Customer_analytics[[#This Row],[TimeOnSite]]&lt;3, "Short Visit", IF(Customer_analytics[[#This Row],[TimeOnSite]]&lt;7, "Medium Visit", "Long Visit"))</f>
        <v>Medium Visit</v>
      </c>
      <c r="J297">
        <v>37</v>
      </c>
      <c r="K297">
        <v>11</v>
      </c>
      <c r="L297">
        <v>6</v>
      </c>
      <c r="M297">
        <v>2</v>
      </c>
      <c r="N297">
        <v>3157</v>
      </c>
      <c r="O297">
        <v>1</v>
      </c>
    </row>
    <row r="298" spans="1:15" x14ac:dyDescent="0.35">
      <c r="A298">
        <v>8927</v>
      </c>
      <c r="B298">
        <v>21</v>
      </c>
      <c r="C298" t="s">
        <v>21</v>
      </c>
      <c r="D298">
        <v>94861</v>
      </c>
      <c r="E298" t="str">
        <f>IF(Customer_analytics[[#This Row],[Income]]&lt;50000, "Low", IF(Customer_analytics[[#This Row],[Income]]&lt;100000, "Mid", "High"))</f>
        <v>Mid</v>
      </c>
      <c r="F298">
        <v>28</v>
      </c>
      <c r="G298">
        <v>6.34</v>
      </c>
      <c r="H298">
        <v>5.88</v>
      </c>
      <c r="I298" t="str">
        <f>IF(Customer_analytics[[#This Row],[TimeOnSite]]&lt;3, "Short Visit", IF(Customer_analytics[[#This Row],[TimeOnSite]]&lt;7, "Medium Visit", "Long Visit"))</f>
        <v>Medium Visit</v>
      </c>
      <c r="J298">
        <v>55</v>
      </c>
      <c r="K298">
        <v>12</v>
      </c>
      <c r="L298">
        <v>8</v>
      </c>
      <c r="M298">
        <v>1</v>
      </c>
      <c r="N298">
        <v>3170</v>
      </c>
      <c r="O298">
        <v>1</v>
      </c>
    </row>
    <row r="299" spans="1:15" x14ac:dyDescent="0.35">
      <c r="A299">
        <v>8931</v>
      </c>
      <c r="B299">
        <v>20</v>
      </c>
      <c r="C299" t="s">
        <v>21</v>
      </c>
      <c r="D299">
        <v>56775</v>
      </c>
      <c r="E299" t="str">
        <f>IF(Customer_analytics[[#This Row],[Income]]&lt;50000, "Low", IF(Customer_analytics[[#This Row],[Income]]&lt;100000, "Mid", "High"))</f>
        <v>Mid</v>
      </c>
      <c r="F299">
        <v>15</v>
      </c>
      <c r="G299">
        <v>8.3699999999999992</v>
      </c>
      <c r="H299">
        <v>1.1200000000000001</v>
      </c>
      <c r="I299" t="str">
        <f>IF(Customer_analytics[[#This Row],[TimeOnSite]]&lt;3, "Short Visit", IF(Customer_analytics[[#This Row],[TimeOnSite]]&lt;7, "Medium Visit", "Long Visit"))</f>
        <v>Short Visit</v>
      </c>
      <c r="J299">
        <v>69</v>
      </c>
      <c r="K299">
        <v>3</v>
      </c>
      <c r="L299">
        <v>2</v>
      </c>
      <c r="M299">
        <v>7</v>
      </c>
      <c r="N299">
        <v>3277</v>
      </c>
      <c r="O299">
        <v>1</v>
      </c>
    </row>
    <row r="300" spans="1:15" x14ac:dyDescent="0.35">
      <c r="A300">
        <v>8933</v>
      </c>
      <c r="B300">
        <v>20</v>
      </c>
      <c r="C300" t="s">
        <v>21</v>
      </c>
      <c r="D300">
        <v>105909</v>
      </c>
      <c r="E300" t="str">
        <f>IF(Customer_analytics[[#This Row],[Income]]&lt;50000, "Low", IF(Customer_analytics[[#This Row],[Income]]&lt;100000, "Mid", "High"))</f>
        <v>High</v>
      </c>
      <c r="F300">
        <v>21</v>
      </c>
      <c r="G300">
        <v>8.3000000000000007</v>
      </c>
      <c r="H300">
        <v>10.91</v>
      </c>
      <c r="I300" t="str">
        <f>IF(Customer_analytics[[#This Row],[TimeOnSite]]&lt;3, "Short Visit", IF(Customer_analytics[[#This Row],[TimeOnSite]]&lt;7, "Medium Visit", "Long Visit"))</f>
        <v>Long Visit</v>
      </c>
      <c r="J300">
        <v>89</v>
      </c>
      <c r="K300">
        <v>17</v>
      </c>
      <c r="L300">
        <v>3</v>
      </c>
      <c r="M300">
        <v>5</v>
      </c>
      <c r="N300">
        <v>4504</v>
      </c>
      <c r="O300">
        <v>1</v>
      </c>
    </row>
    <row r="301" spans="1:15" x14ac:dyDescent="0.35">
      <c r="A301">
        <v>8938</v>
      </c>
      <c r="B301">
        <v>68</v>
      </c>
      <c r="C301" t="s">
        <v>27</v>
      </c>
      <c r="D301">
        <v>142402</v>
      </c>
      <c r="E301" t="str">
        <f>IF(Customer_analytics[[#This Row],[Income]]&lt;50000, "Low", IF(Customer_analytics[[#This Row],[Income]]&lt;100000, "Mid", "High"))</f>
        <v>High</v>
      </c>
      <c r="F301">
        <v>49</v>
      </c>
      <c r="G301">
        <v>8.67</v>
      </c>
      <c r="H301">
        <v>13.49</v>
      </c>
      <c r="I301" t="str">
        <f>IF(Customer_analytics[[#This Row],[TimeOnSite]]&lt;3, "Short Visit", IF(Customer_analytics[[#This Row],[TimeOnSite]]&lt;7, "Medium Visit", "Long Visit"))</f>
        <v>Long Visit</v>
      </c>
      <c r="J301">
        <v>80</v>
      </c>
      <c r="K301">
        <v>9</v>
      </c>
      <c r="L301">
        <v>7</v>
      </c>
      <c r="M301">
        <v>2</v>
      </c>
      <c r="N301">
        <v>1573</v>
      </c>
      <c r="O301">
        <v>1</v>
      </c>
    </row>
    <row r="302" spans="1:15" x14ac:dyDescent="0.35">
      <c r="A302">
        <v>8949</v>
      </c>
      <c r="B302">
        <v>22</v>
      </c>
      <c r="C302" t="s">
        <v>21</v>
      </c>
      <c r="D302">
        <v>27014</v>
      </c>
      <c r="E302" t="str">
        <f>IF(Customer_analytics[[#This Row],[Income]]&lt;50000, "Low", IF(Customer_analytics[[#This Row],[Income]]&lt;100000, "Mid", "High"))</f>
        <v>Low</v>
      </c>
      <c r="F302">
        <v>32</v>
      </c>
      <c r="G302">
        <v>6.63</v>
      </c>
      <c r="H302">
        <v>8.52</v>
      </c>
      <c r="I302" t="str">
        <f>IF(Customer_analytics[[#This Row],[TimeOnSite]]&lt;3, "Short Visit", IF(Customer_analytics[[#This Row],[TimeOnSite]]&lt;7, "Medium Visit", "Long Visit"))</f>
        <v>Long Visit</v>
      </c>
      <c r="J302">
        <v>47</v>
      </c>
      <c r="K302">
        <v>18</v>
      </c>
      <c r="L302">
        <v>1</v>
      </c>
      <c r="M302">
        <v>9</v>
      </c>
      <c r="N302">
        <v>3317</v>
      </c>
      <c r="O302">
        <v>1</v>
      </c>
    </row>
    <row r="303" spans="1:15" x14ac:dyDescent="0.35">
      <c r="A303">
        <v>8952</v>
      </c>
      <c r="B303">
        <v>43</v>
      </c>
      <c r="C303" t="s">
        <v>27</v>
      </c>
      <c r="D303">
        <v>136045</v>
      </c>
      <c r="E303" t="str">
        <f>IF(Customer_analytics[[#This Row],[Income]]&lt;50000, "Low", IF(Customer_analytics[[#This Row],[Income]]&lt;100000, "Mid", "High"))</f>
        <v>High</v>
      </c>
      <c r="F303">
        <v>33</v>
      </c>
      <c r="G303">
        <v>1.85</v>
      </c>
      <c r="H303">
        <v>7.83</v>
      </c>
      <c r="I303" t="str">
        <f>IF(Customer_analytics[[#This Row],[TimeOnSite]]&lt;3, "Short Visit", IF(Customer_analytics[[#This Row],[TimeOnSite]]&lt;7, "Medium Visit", "Long Visit"))</f>
        <v>Long Visit</v>
      </c>
      <c r="J303">
        <v>46</v>
      </c>
      <c r="K303">
        <v>12</v>
      </c>
      <c r="L303">
        <v>0</v>
      </c>
      <c r="M303">
        <v>7</v>
      </c>
      <c r="N303">
        <v>3280</v>
      </c>
      <c r="O303">
        <v>1</v>
      </c>
    </row>
    <row r="304" spans="1:15" x14ac:dyDescent="0.35">
      <c r="A304">
        <v>8957</v>
      </c>
      <c r="B304">
        <v>43</v>
      </c>
      <c r="C304" t="s">
        <v>21</v>
      </c>
      <c r="D304">
        <v>149067</v>
      </c>
      <c r="E304" t="str">
        <f>IF(Customer_analytics[[#This Row],[Income]]&lt;50000, "Low", IF(Customer_analytics[[#This Row],[Income]]&lt;100000, "Mid", "High"))</f>
        <v>High</v>
      </c>
      <c r="F304">
        <v>14</v>
      </c>
      <c r="G304">
        <v>3.59</v>
      </c>
      <c r="H304">
        <v>11.35</v>
      </c>
      <c r="I304" t="str">
        <f>IF(Customer_analytics[[#This Row],[TimeOnSite]]&lt;3, "Short Visit", IF(Customer_analytics[[#This Row],[TimeOnSite]]&lt;7, "Medium Visit", "Long Visit"))</f>
        <v>Long Visit</v>
      </c>
      <c r="J304">
        <v>33</v>
      </c>
      <c r="K304">
        <v>8</v>
      </c>
      <c r="L304">
        <v>0</v>
      </c>
      <c r="M304">
        <v>7</v>
      </c>
      <c r="N304">
        <v>728</v>
      </c>
      <c r="O304">
        <v>1</v>
      </c>
    </row>
    <row r="305" spans="1:15" x14ac:dyDescent="0.35">
      <c r="A305">
        <v>8960</v>
      </c>
      <c r="B305">
        <v>26</v>
      </c>
      <c r="C305" t="s">
        <v>27</v>
      </c>
      <c r="D305">
        <v>28219</v>
      </c>
      <c r="E305" t="str">
        <f>IF(Customer_analytics[[#This Row],[Income]]&lt;50000, "Low", IF(Customer_analytics[[#This Row],[Income]]&lt;100000, "Mid", "High"))</f>
        <v>Low</v>
      </c>
      <c r="F305">
        <v>20</v>
      </c>
      <c r="G305">
        <v>6.32</v>
      </c>
      <c r="H305">
        <v>5.79</v>
      </c>
      <c r="I305" t="str">
        <f>IF(Customer_analytics[[#This Row],[TimeOnSite]]&lt;3, "Short Visit", IF(Customer_analytics[[#This Row],[TimeOnSite]]&lt;7, "Medium Visit", "Long Visit"))</f>
        <v>Medium Visit</v>
      </c>
      <c r="J305">
        <v>84</v>
      </c>
      <c r="K305">
        <v>18</v>
      </c>
      <c r="L305">
        <v>3</v>
      </c>
      <c r="M305">
        <v>4</v>
      </c>
      <c r="N305">
        <v>2151</v>
      </c>
      <c r="O305">
        <v>1</v>
      </c>
    </row>
    <row r="306" spans="1:15" x14ac:dyDescent="0.35">
      <c r="A306">
        <v>8963</v>
      </c>
      <c r="B306">
        <v>39</v>
      </c>
      <c r="C306" t="s">
        <v>21</v>
      </c>
      <c r="D306">
        <v>129034</v>
      </c>
      <c r="E306" t="str">
        <f>IF(Customer_analytics[[#This Row],[Income]]&lt;50000, "Low", IF(Customer_analytics[[#This Row],[Income]]&lt;100000, "Mid", "High"))</f>
        <v>High</v>
      </c>
      <c r="F306">
        <v>2</v>
      </c>
      <c r="G306">
        <v>9.39</v>
      </c>
      <c r="H306">
        <v>2.11</v>
      </c>
      <c r="I306" t="str">
        <f>IF(Customer_analytics[[#This Row],[TimeOnSite]]&lt;3, "Short Visit", IF(Customer_analytics[[#This Row],[TimeOnSite]]&lt;7, "Medium Visit", "Long Visit"))</f>
        <v>Short Visit</v>
      </c>
      <c r="J306">
        <v>41</v>
      </c>
      <c r="K306">
        <v>8</v>
      </c>
      <c r="L306">
        <v>8</v>
      </c>
      <c r="M306">
        <v>1</v>
      </c>
      <c r="N306">
        <v>3348</v>
      </c>
      <c r="O306">
        <v>0</v>
      </c>
    </row>
    <row r="307" spans="1:15" x14ac:dyDescent="0.35">
      <c r="A307">
        <v>8965</v>
      </c>
      <c r="B307">
        <v>47</v>
      </c>
      <c r="C307" t="s">
        <v>21</v>
      </c>
      <c r="D307">
        <v>39276</v>
      </c>
      <c r="E307" t="str">
        <f>IF(Customer_analytics[[#This Row],[Income]]&lt;50000, "Low", IF(Customer_analytics[[#This Row],[Income]]&lt;100000, "Mid", "High"))</f>
        <v>Low</v>
      </c>
      <c r="F307">
        <v>20</v>
      </c>
      <c r="G307">
        <v>3.22</v>
      </c>
      <c r="H307">
        <v>12.03</v>
      </c>
      <c r="I307" t="str">
        <f>IF(Customer_analytics[[#This Row],[TimeOnSite]]&lt;3, "Short Visit", IF(Customer_analytics[[#This Row],[TimeOnSite]]&lt;7, "Medium Visit", "Long Visit"))</f>
        <v>Long Visit</v>
      </c>
      <c r="J307">
        <v>68</v>
      </c>
      <c r="K307">
        <v>10</v>
      </c>
      <c r="L307">
        <v>7</v>
      </c>
      <c r="M307">
        <v>4</v>
      </c>
      <c r="N307">
        <v>3115</v>
      </c>
      <c r="O307">
        <v>1</v>
      </c>
    </row>
    <row r="308" spans="1:15" x14ac:dyDescent="0.35">
      <c r="A308">
        <v>8973</v>
      </c>
      <c r="B308">
        <v>66</v>
      </c>
      <c r="C308" t="s">
        <v>27</v>
      </c>
      <c r="D308">
        <v>116487</v>
      </c>
      <c r="E308" t="str">
        <f>IF(Customer_analytics[[#This Row],[Income]]&lt;50000, "Low", IF(Customer_analytics[[#This Row],[Income]]&lt;100000, "Mid", "High"))</f>
        <v>High</v>
      </c>
      <c r="F308">
        <v>19</v>
      </c>
      <c r="G308">
        <v>8.08</v>
      </c>
      <c r="H308">
        <v>2.73</v>
      </c>
      <c r="I308" t="str">
        <f>IF(Customer_analytics[[#This Row],[TimeOnSite]]&lt;3, "Short Visit", IF(Customer_analytics[[#This Row],[TimeOnSite]]&lt;7, "Medium Visit", "Long Visit"))</f>
        <v>Short Visit</v>
      </c>
      <c r="J308">
        <v>67</v>
      </c>
      <c r="K308">
        <v>19</v>
      </c>
      <c r="L308">
        <v>9</v>
      </c>
      <c r="M308">
        <v>4</v>
      </c>
      <c r="N308">
        <v>3240</v>
      </c>
      <c r="O308">
        <v>1</v>
      </c>
    </row>
    <row r="309" spans="1:15" x14ac:dyDescent="0.35">
      <c r="A309">
        <v>8980</v>
      </c>
      <c r="B309">
        <v>43</v>
      </c>
      <c r="C309" t="s">
        <v>21</v>
      </c>
      <c r="D309">
        <v>45412</v>
      </c>
      <c r="E309" t="str">
        <f>IF(Customer_analytics[[#This Row],[Income]]&lt;50000, "Low", IF(Customer_analytics[[#This Row],[Income]]&lt;100000, "Mid", "High"))</f>
        <v>Low</v>
      </c>
      <c r="F309">
        <v>44</v>
      </c>
      <c r="G309">
        <v>9.85</v>
      </c>
      <c r="H309">
        <v>3.73</v>
      </c>
      <c r="I309" t="str">
        <f>IF(Customer_analytics[[#This Row],[TimeOnSite]]&lt;3, "Short Visit", IF(Customer_analytics[[#This Row],[TimeOnSite]]&lt;7, "Medium Visit", "Long Visit"))</f>
        <v>Medium Visit</v>
      </c>
      <c r="J309">
        <v>55</v>
      </c>
      <c r="K309">
        <v>5</v>
      </c>
      <c r="L309">
        <v>4</v>
      </c>
      <c r="M309">
        <v>1</v>
      </c>
      <c r="N309">
        <v>1391</v>
      </c>
      <c r="O309">
        <v>1</v>
      </c>
    </row>
    <row r="310" spans="1:15" x14ac:dyDescent="0.35">
      <c r="A310">
        <v>8982</v>
      </c>
      <c r="B310">
        <v>40</v>
      </c>
      <c r="C310" t="s">
        <v>21</v>
      </c>
      <c r="D310">
        <v>64898</v>
      </c>
      <c r="E310" t="str">
        <f>IF(Customer_analytics[[#This Row],[Income]]&lt;50000, "Low", IF(Customer_analytics[[#This Row],[Income]]&lt;100000, "Mid", "High"))</f>
        <v>Mid</v>
      </c>
      <c r="F310">
        <v>2</v>
      </c>
      <c r="G310">
        <v>4.1900000000000004</v>
      </c>
      <c r="H310">
        <v>7.37</v>
      </c>
      <c r="I310" t="str">
        <f>IF(Customer_analytics[[#This Row],[TimeOnSite]]&lt;3, "Short Visit", IF(Customer_analytics[[#This Row],[TimeOnSite]]&lt;7, "Medium Visit", "Long Visit"))</f>
        <v>Long Visit</v>
      </c>
      <c r="J310">
        <v>64</v>
      </c>
      <c r="K310">
        <v>0</v>
      </c>
      <c r="L310">
        <v>7</v>
      </c>
      <c r="M310">
        <v>5</v>
      </c>
      <c r="N310">
        <v>1634</v>
      </c>
      <c r="O310">
        <v>1</v>
      </c>
    </row>
    <row r="311" spans="1:15" x14ac:dyDescent="0.35">
      <c r="A311">
        <v>8984</v>
      </c>
      <c r="B311">
        <v>41</v>
      </c>
      <c r="C311" t="s">
        <v>27</v>
      </c>
      <c r="D311">
        <v>23405</v>
      </c>
      <c r="E311" t="str">
        <f>IF(Customer_analytics[[#This Row],[Income]]&lt;50000, "Low", IF(Customer_analytics[[#This Row],[Income]]&lt;100000, "Mid", "High"))</f>
        <v>Low</v>
      </c>
      <c r="F311">
        <v>40</v>
      </c>
      <c r="G311">
        <v>9.61</v>
      </c>
      <c r="H311">
        <v>6.68</v>
      </c>
      <c r="I311" t="str">
        <f>IF(Customer_analytics[[#This Row],[TimeOnSite]]&lt;3, "Short Visit", IF(Customer_analytics[[#This Row],[TimeOnSite]]&lt;7, "Medium Visit", "Long Visit"))</f>
        <v>Medium Visit</v>
      </c>
      <c r="J311">
        <v>39</v>
      </c>
      <c r="K311">
        <v>0</v>
      </c>
      <c r="L311">
        <v>8</v>
      </c>
      <c r="M311">
        <v>4</v>
      </c>
      <c r="N311">
        <v>2302</v>
      </c>
      <c r="O311">
        <v>1</v>
      </c>
    </row>
    <row r="312" spans="1:15" x14ac:dyDescent="0.35">
      <c r="A312">
        <v>8986</v>
      </c>
      <c r="B312">
        <v>62</v>
      </c>
      <c r="C312" t="s">
        <v>21</v>
      </c>
      <c r="D312">
        <v>30862</v>
      </c>
      <c r="E312" t="str">
        <f>IF(Customer_analytics[[#This Row],[Income]]&lt;50000, "Low", IF(Customer_analytics[[#This Row],[Income]]&lt;100000, "Mid", "High"))</f>
        <v>Low</v>
      </c>
      <c r="F312">
        <v>40</v>
      </c>
      <c r="G312">
        <v>6.01</v>
      </c>
      <c r="H312">
        <v>10.96</v>
      </c>
      <c r="I312" t="str">
        <f>IF(Customer_analytics[[#This Row],[TimeOnSite]]&lt;3, "Short Visit", IF(Customer_analytics[[#This Row],[TimeOnSite]]&lt;7, "Medium Visit", "Long Visit"))</f>
        <v>Long Visit</v>
      </c>
      <c r="J312">
        <v>26</v>
      </c>
      <c r="K312">
        <v>8</v>
      </c>
      <c r="L312">
        <v>1</v>
      </c>
      <c r="M312">
        <v>2</v>
      </c>
      <c r="N312">
        <v>4462</v>
      </c>
      <c r="O312">
        <v>1</v>
      </c>
    </row>
    <row r="313" spans="1:15" x14ac:dyDescent="0.35">
      <c r="A313">
        <v>8987</v>
      </c>
      <c r="B313">
        <v>43</v>
      </c>
      <c r="C313" t="s">
        <v>21</v>
      </c>
      <c r="D313">
        <v>74679</v>
      </c>
      <c r="E313" t="str">
        <f>IF(Customer_analytics[[#This Row],[Income]]&lt;50000, "Low", IF(Customer_analytics[[#This Row],[Income]]&lt;100000, "Mid", "High"))</f>
        <v>Mid</v>
      </c>
      <c r="F313">
        <v>12</v>
      </c>
      <c r="G313">
        <v>6.19</v>
      </c>
      <c r="H313">
        <v>3.41</v>
      </c>
      <c r="I313" t="str">
        <f>IF(Customer_analytics[[#This Row],[TimeOnSite]]&lt;3, "Short Visit", IF(Customer_analytics[[#This Row],[TimeOnSite]]&lt;7, "Medium Visit", "Long Visit"))</f>
        <v>Medium Visit</v>
      </c>
      <c r="J313">
        <v>66</v>
      </c>
      <c r="K313">
        <v>9</v>
      </c>
      <c r="L313">
        <v>9</v>
      </c>
      <c r="M313">
        <v>4</v>
      </c>
      <c r="N313">
        <v>3912</v>
      </c>
      <c r="O313">
        <v>1</v>
      </c>
    </row>
    <row r="314" spans="1:15" x14ac:dyDescent="0.35">
      <c r="A314">
        <v>8988</v>
      </c>
      <c r="B314">
        <v>31</v>
      </c>
      <c r="C314" t="s">
        <v>21</v>
      </c>
      <c r="D314">
        <v>48688</v>
      </c>
      <c r="E314" t="str">
        <f>IF(Customer_analytics[[#This Row],[Income]]&lt;50000, "Low", IF(Customer_analytics[[#This Row],[Income]]&lt;100000, "Mid", "High"))</f>
        <v>Low</v>
      </c>
      <c r="F314">
        <v>8</v>
      </c>
      <c r="G314">
        <v>1.96</v>
      </c>
      <c r="H314">
        <v>5.84</v>
      </c>
      <c r="I314" t="str">
        <f>IF(Customer_analytics[[#This Row],[TimeOnSite]]&lt;3, "Short Visit", IF(Customer_analytics[[#This Row],[TimeOnSite]]&lt;7, "Medium Visit", "Long Visit"))</f>
        <v>Medium Visit</v>
      </c>
      <c r="J314">
        <v>99</v>
      </c>
      <c r="K314">
        <v>11</v>
      </c>
      <c r="L314">
        <v>5</v>
      </c>
      <c r="M314">
        <v>3</v>
      </c>
      <c r="N314">
        <v>4644</v>
      </c>
      <c r="O314">
        <v>1</v>
      </c>
    </row>
    <row r="315" spans="1:15" x14ac:dyDescent="0.35">
      <c r="A315">
        <v>8989</v>
      </c>
      <c r="B315">
        <v>68</v>
      </c>
      <c r="C315" t="s">
        <v>27</v>
      </c>
      <c r="D315">
        <v>68017</v>
      </c>
      <c r="E315" t="str">
        <f>IF(Customer_analytics[[#This Row],[Income]]&lt;50000, "Low", IF(Customer_analytics[[#This Row],[Income]]&lt;100000, "Mid", "High"))</f>
        <v>Mid</v>
      </c>
      <c r="F315">
        <v>45</v>
      </c>
      <c r="G315">
        <v>2.48</v>
      </c>
      <c r="H315">
        <v>6.33</v>
      </c>
      <c r="I315" t="str">
        <f>IF(Customer_analytics[[#This Row],[TimeOnSite]]&lt;3, "Short Visit", IF(Customer_analytics[[#This Row],[TimeOnSite]]&lt;7, "Medium Visit", "Long Visit"))</f>
        <v>Medium Visit</v>
      </c>
      <c r="J315">
        <v>93</v>
      </c>
      <c r="K315">
        <v>3</v>
      </c>
      <c r="L315">
        <v>3</v>
      </c>
      <c r="M315">
        <v>7</v>
      </c>
      <c r="N315">
        <v>2385</v>
      </c>
      <c r="O315">
        <v>0</v>
      </c>
    </row>
    <row r="316" spans="1:15" x14ac:dyDescent="0.35">
      <c r="A316">
        <v>8991</v>
      </c>
      <c r="B316">
        <v>20</v>
      </c>
      <c r="C316" t="s">
        <v>21</v>
      </c>
      <c r="D316">
        <v>32939</v>
      </c>
      <c r="E316" t="str">
        <f>IF(Customer_analytics[[#This Row],[Income]]&lt;50000, "Low", IF(Customer_analytics[[#This Row],[Income]]&lt;100000, "Mid", "High"))</f>
        <v>Low</v>
      </c>
      <c r="F316">
        <v>48</v>
      </c>
      <c r="G316">
        <v>7.93</v>
      </c>
      <c r="H316">
        <v>5.8</v>
      </c>
      <c r="I316" t="str">
        <f>IF(Customer_analytics[[#This Row],[TimeOnSite]]&lt;3, "Short Visit", IF(Customer_analytics[[#This Row],[TimeOnSite]]&lt;7, "Medium Visit", "Long Visit"))</f>
        <v>Medium Visit</v>
      </c>
      <c r="J316">
        <v>73</v>
      </c>
      <c r="K316">
        <v>10</v>
      </c>
      <c r="L316">
        <v>7</v>
      </c>
      <c r="M316">
        <v>9</v>
      </c>
      <c r="N316">
        <v>2070</v>
      </c>
      <c r="O316">
        <v>1</v>
      </c>
    </row>
    <row r="317" spans="1:15" x14ac:dyDescent="0.35">
      <c r="A317">
        <v>8995</v>
      </c>
      <c r="B317">
        <v>60</v>
      </c>
      <c r="C317" t="s">
        <v>27</v>
      </c>
      <c r="D317">
        <v>59585</v>
      </c>
      <c r="E317" t="str">
        <f>IF(Customer_analytics[[#This Row],[Income]]&lt;50000, "Low", IF(Customer_analytics[[#This Row],[Income]]&lt;100000, "Mid", "High"))</f>
        <v>Mid</v>
      </c>
      <c r="F317">
        <v>10</v>
      </c>
      <c r="G317">
        <v>3.8</v>
      </c>
      <c r="H317">
        <v>0.93</v>
      </c>
      <c r="I317" t="str">
        <f>IF(Customer_analytics[[#This Row],[TimeOnSite]]&lt;3, "Short Visit", IF(Customer_analytics[[#This Row],[TimeOnSite]]&lt;7, "Medium Visit", "Long Visit"))</f>
        <v>Short Visit</v>
      </c>
      <c r="J317">
        <v>97</v>
      </c>
      <c r="K317">
        <v>19</v>
      </c>
      <c r="L317">
        <v>1</v>
      </c>
      <c r="M317">
        <v>0</v>
      </c>
      <c r="N317">
        <v>2229</v>
      </c>
      <c r="O317">
        <v>1</v>
      </c>
    </row>
    <row r="318" spans="1:15" x14ac:dyDescent="0.35">
      <c r="A318">
        <v>10423</v>
      </c>
      <c r="B318">
        <v>51</v>
      </c>
      <c r="C318" t="s">
        <v>21</v>
      </c>
      <c r="D318">
        <v>92317</v>
      </c>
      <c r="E318" t="str">
        <f>IF(Customer_analytics[[#This Row],[Income]]&lt;50000, "Low", IF(Customer_analytics[[#This Row],[Income]]&lt;100000, "Mid", "High"))</f>
        <v>Mid</v>
      </c>
      <c r="F318">
        <v>14</v>
      </c>
      <c r="G318">
        <v>3.65</v>
      </c>
      <c r="H318">
        <v>6.97</v>
      </c>
      <c r="I318" t="str">
        <f>IF(Customer_analytics[[#This Row],[TimeOnSite]]&lt;3, "Short Visit", IF(Customer_analytics[[#This Row],[TimeOnSite]]&lt;7, "Medium Visit", "Long Visit"))</f>
        <v>Medium Visit</v>
      </c>
      <c r="J318">
        <v>68</v>
      </c>
      <c r="K318">
        <v>5</v>
      </c>
      <c r="L318">
        <v>2</v>
      </c>
      <c r="M318">
        <v>7</v>
      </c>
      <c r="N318">
        <v>327</v>
      </c>
      <c r="O318">
        <v>1</v>
      </c>
    </row>
    <row r="319" spans="1:15" x14ac:dyDescent="0.35">
      <c r="A319">
        <v>11432</v>
      </c>
      <c r="B319">
        <v>28</v>
      </c>
      <c r="C319" t="s">
        <v>21</v>
      </c>
      <c r="D319">
        <v>23582</v>
      </c>
      <c r="E319" t="str">
        <f>IF(Customer_analytics[[#This Row],[Income]]&lt;50000, "Low", IF(Customer_analytics[[#This Row],[Income]]&lt;100000, "Mid", "High"))</f>
        <v>Low</v>
      </c>
      <c r="F319">
        <v>39</v>
      </c>
      <c r="G319">
        <v>4.22</v>
      </c>
      <c r="H319">
        <v>3.47</v>
      </c>
      <c r="I319" t="str">
        <f>IF(Customer_analytics[[#This Row],[TimeOnSite]]&lt;3, "Short Visit", IF(Customer_analytics[[#This Row],[TimeOnSite]]&lt;7, "Medium Visit", "Long Visit"))</f>
        <v>Medium Visit</v>
      </c>
      <c r="J319">
        <v>0</v>
      </c>
      <c r="K319">
        <v>7</v>
      </c>
      <c r="L319">
        <v>9</v>
      </c>
      <c r="M319">
        <v>6</v>
      </c>
      <c r="N319">
        <v>1953</v>
      </c>
      <c r="O319">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1534-359E-4268-B9FD-BF61AC9666F4}">
  <dimension ref="A1:M319"/>
  <sheetViews>
    <sheetView tabSelected="1" workbookViewId="0">
      <selection activeCell="P22" sqref="P22"/>
    </sheetView>
  </sheetViews>
  <sheetFormatPr defaultRowHeight="14.5" x14ac:dyDescent="0.35"/>
  <cols>
    <col min="1" max="1" width="13.08984375" bestFit="1" customWidth="1"/>
    <col min="2" max="2" width="18.26953125" bestFit="1" customWidth="1"/>
    <col min="3" max="3" width="15.453125" bestFit="1" customWidth="1"/>
    <col min="4" max="4" width="10.54296875" bestFit="1" customWidth="1"/>
    <col min="5" max="5" width="17.81640625" bestFit="1" customWidth="1"/>
    <col min="6" max="6" width="16.36328125" bestFit="1" customWidth="1"/>
    <col min="7" max="7" width="14.453125" bestFit="1" customWidth="1"/>
    <col min="8" max="8" width="13.36328125" bestFit="1" customWidth="1"/>
    <col min="9" max="9" width="13" bestFit="1" customWidth="1"/>
    <col min="10" max="10" width="12.26953125" bestFit="1" customWidth="1"/>
    <col min="11" max="11" width="20" bestFit="1" customWidth="1"/>
    <col min="12" max="12" width="16.1796875" bestFit="1" customWidth="1"/>
    <col min="13" max="13" width="12.453125" customWidth="1"/>
    <col min="14" max="15" width="7.81640625" bestFit="1" customWidth="1"/>
  </cols>
  <sheetData>
    <row r="1" spans="1:13" x14ac:dyDescent="0.35">
      <c r="A1" t="s">
        <v>0</v>
      </c>
      <c r="B1" t="s">
        <v>4</v>
      </c>
      <c r="C1" t="s">
        <v>5</v>
      </c>
      <c r="D1" t="s">
        <v>6</v>
      </c>
      <c r="E1" t="s">
        <v>7</v>
      </c>
      <c r="F1" t="s">
        <v>8</v>
      </c>
      <c r="G1" t="s">
        <v>9</v>
      </c>
      <c r="H1" t="s">
        <v>12</v>
      </c>
      <c r="I1" t="s">
        <v>13</v>
      </c>
      <c r="J1" t="s">
        <v>14</v>
      </c>
      <c r="K1" t="s">
        <v>17</v>
      </c>
      <c r="L1" t="s">
        <v>18</v>
      </c>
      <c r="M1" t="s">
        <v>19</v>
      </c>
    </row>
    <row r="2" spans="1:13" x14ac:dyDescent="0.35">
      <c r="A2">
        <v>8004</v>
      </c>
      <c r="B2" t="s">
        <v>22</v>
      </c>
      <c r="C2" t="s">
        <v>19</v>
      </c>
      <c r="D2">
        <v>1678.04</v>
      </c>
      <c r="E2">
        <v>0.25</v>
      </c>
      <c r="F2">
        <v>0.11</v>
      </c>
      <c r="G2">
        <v>0</v>
      </c>
      <c r="H2">
        <v>6</v>
      </c>
      <c r="I2">
        <v>6</v>
      </c>
      <c r="J2">
        <v>6</v>
      </c>
      <c r="K2" t="s">
        <v>23</v>
      </c>
      <c r="L2" t="s">
        <v>24</v>
      </c>
      <c r="M2">
        <v>1</v>
      </c>
    </row>
    <row r="3" spans="1:13" x14ac:dyDescent="0.35">
      <c r="A3">
        <v>8006</v>
      </c>
      <c r="B3" t="s">
        <v>25</v>
      </c>
      <c r="C3" t="s">
        <v>26</v>
      </c>
      <c r="D3">
        <v>7302.9</v>
      </c>
      <c r="E3">
        <v>0.04</v>
      </c>
      <c r="F3">
        <v>0.06</v>
      </c>
      <c r="G3">
        <v>42</v>
      </c>
      <c r="H3">
        <v>54</v>
      </c>
      <c r="I3">
        <v>14</v>
      </c>
      <c r="J3">
        <v>3</v>
      </c>
      <c r="K3" t="s">
        <v>23</v>
      </c>
      <c r="L3" t="s">
        <v>24</v>
      </c>
      <c r="M3">
        <v>1</v>
      </c>
    </row>
    <row r="4" spans="1:13" x14ac:dyDescent="0.35">
      <c r="A4">
        <v>8012</v>
      </c>
      <c r="B4" t="s">
        <v>28</v>
      </c>
      <c r="C4" t="s">
        <v>19</v>
      </c>
      <c r="D4">
        <v>5930.92</v>
      </c>
      <c r="E4">
        <v>0.22</v>
      </c>
      <c r="F4">
        <v>0.02</v>
      </c>
      <c r="G4">
        <v>13</v>
      </c>
      <c r="H4">
        <v>28</v>
      </c>
      <c r="I4">
        <v>16</v>
      </c>
      <c r="J4">
        <v>5</v>
      </c>
      <c r="K4" t="s">
        <v>23</v>
      </c>
      <c r="L4" t="s">
        <v>24</v>
      </c>
      <c r="M4">
        <v>1</v>
      </c>
    </row>
    <row r="5" spans="1:13" x14ac:dyDescent="0.35">
      <c r="A5">
        <v>8013</v>
      </c>
      <c r="B5" t="s">
        <v>29</v>
      </c>
      <c r="C5" t="s">
        <v>26</v>
      </c>
      <c r="D5">
        <v>1520.42</v>
      </c>
      <c r="E5">
        <v>0.19</v>
      </c>
      <c r="F5">
        <v>0.16</v>
      </c>
      <c r="G5">
        <v>8</v>
      </c>
      <c r="H5">
        <v>81</v>
      </c>
      <c r="I5">
        <v>8</v>
      </c>
      <c r="J5">
        <v>1</v>
      </c>
      <c r="K5" t="s">
        <v>23</v>
      </c>
      <c r="L5" t="s">
        <v>24</v>
      </c>
      <c r="M5">
        <v>1</v>
      </c>
    </row>
    <row r="6" spans="1:13" x14ac:dyDescent="0.35">
      <c r="A6">
        <v>8014</v>
      </c>
      <c r="B6" t="s">
        <v>28</v>
      </c>
      <c r="C6" t="s">
        <v>26</v>
      </c>
      <c r="D6">
        <v>4104.38</v>
      </c>
      <c r="E6">
        <v>0.12</v>
      </c>
      <c r="F6">
        <v>0.11</v>
      </c>
      <c r="G6">
        <v>20</v>
      </c>
      <c r="H6">
        <v>70</v>
      </c>
      <c r="I6">
        <v>16</v>
      </c>
      <c r="J6">
        <v>8</v>
      </c>
      <c r="K6" t="s">
        <v>23</v>
      </c>
      <c r="L6" t="s">
        <v>24</v>
      </c>
      <c r="M6">
        <v>1</v>
      </c>
    </row>
    <row r="7" spans="1:13" x14ac:dyDescent="0.35">
      <c r="A7">
        <v>8015</v>
      </c>
      <c r="B7" t="s">
        <v>28</v>
      </c>
      <c r="C7" t="s">
        <v>26</v>
      </c>
      <c r="D7">
        <v>429.08</v>
      </c>
      <c r="E7">
        <v>7.0000000000000007E-2</v>
      </c>
      <c r="F7">
        <v>0.1</v>
      </c>
      <c r="G7">
        <v>44</v>
      </c>
      <c r="H7">
        <v>33</v>
      </c>
      <c r="I7">
        <v>0</v>
      </c>
      <c r="J7">
        <v>1</v>
      </c>
      <c r="K7" t="s">
        <v>23</v>
      </c>
      <c r="L7" t="s">
        <v>24</v>
      </c>
      <c r="M7">
        <v>0</v>
      </c>
    </row>
    <row r="8" spans="1:13" x14ac:dyDescent="0.35">
      <c r="A8">
        <v>8018</v>
      </c>
      <c r="B8" t="s">
        <v>22</v>
      </c>
      <c r="C8" t="s">
        <v>19</v>
      </c>
      <c r="D8">
        <v>3939.01</v>
      </c>
      <c r="E8">
        <v>0.15</v>
      </c>
      <c r="F8">
        <v>0.03</v>
      </c>
      <c r="G8">
        <v>7</v>
      </c>
      <c r="H8">
        <v>92</v>
      </c>
      <c r="I8">
        <v>8</v>
      </c>
      <c r="J8">
        <v>4</v>
      </c>
      <c r="K8" t="s">
        <v>23</v>
      </c>
      <c r="L8" t="s">
        <v>24</v>
      </c>
      <c r="M8">
        <v>1</v>
      </c>
    </row>
    <row r="9" spans="1:13" x14ac:dyDescent="0.35">
      <c r="A9">
        <v>8019</v>
      </c>
      <c r="B9" t="s">
        <v>22</v>
      </c>
      <c r="C9" t="s">
        <v>30</v>
      </c>
      <c r="D9">
        <v>8446.0499999999993</v>
      </c>
      <c r="E9">
        <v>0.3</v>
      </c>
      <c r="F9">
        <v>0.05</v>
      </c>
      <c r="G9">
        <v>35</v>
      </c>
      <c r="H9">
        <v>36</v>
      </c>
      <c r="I9">
        <v>7</v>
      </c>
      <c r="J9">
        <v>7</v>
      </c>
      <c r="K9" t="s">
        <v>23</v>
      </c>
      <c r="L9" t="s">
        <v>24</v>
      </c>
      <c r="M9">
        <v>1</v>
      </c>
    </row>
    <row r="10" spans="1:13" x14ac:dyDescent="0.35">
      <c r="A10">
        <v>8027</v>
      </c>
      <c r="B10" t="s">
        <v>31</v>
      </c>
      <c r="C10" t="s">
        <v>32</v>
      </c>
      <c r="D10">
        <v>6920.24</v>
      </c>
      <c r="E10">
        <v>0.01</v>
      </c>
      <c r="F10">
        <v>0.11</v>
      </c>
      <c r="G10">
        <v>39</v>
      </c>
      <c r="H10">
        <v>98</v>
      </c>
      <c r="I10">
        <v>17</v>
      </c>
      <c r="J10">
        <v>6</v>
      </c>
      <c r="K10" t="s">
        <v>23</v>
      </c>
      <c r="L10" t="s">
        <v>24</v>
      </c>
      <c r="M10">
        <v>1</v>
      </c>
    </row>
    <row r="11" spans="1:13" x14ac:dyDescent="0.35">
      <c r="A11">
        <v>8028</v>
      </c>
      <c r="B11" t="s">
        <v>25</v>
      </c>
      <c r="C11" t="s">
        <v>32</v>
      </c>
      <c r="D11">
        <v>6250.27</v>
      </c>
      <c r="E11">
        <v>0.15</v>
      </c>
      <c r="F11">
        <v>0.08</v>
      </c>
      <c r="G11">
        <v>25</v>
      </c>
      <c r="H11">
        <v>92</v>
      </c>
      <c r="I11">
        <v>17</v>
      </c>
      <c r="J11">
        <v>1</v>
      </c>
      <c r="K11" t="s">
        <v>23</v>
      </c>
      <c r="L11" t="s">
        <v>24</v>
      </c>
      <c r="M11">
        <v>1</v>
      </c>
    </row>
    <row r="12" spans="1:13" x14ac:dyDescent="0.35">
      <c r="A12">
        <v>8032</v>
      </c>
      <c r="B12" t="s">
        <v>25</v>
      </c>
      <c r="C12" t="s">
        <v>26</v>
      </c>
      <c r="D12">
        <v>8740.4500000000007</v>
      </c>
      <c r="E12">
        <v>0.28000000000000003</v>
      </c>
      <c r="F12">
        <v>0.02</v>
      </c>
      <c r="G12">
        <v>24</v>
      </c>
      <c r="H12">
        <v>24</v>
      </c>
      <c r="I12">
        <v>10</v>
      </c>
      <c r="J12">
        <v>5</v>
      </c>
      <c r="K12" t="s">
        <v>23</v>
      </c>
      <c r="L12" t="s">
        <v>24</v>
      </c>
      <c r="M12">
        <v>1</v>
      </c>
    </row>
    <row r="13" spans="1:13" x14ac:dyDescent="0.35">
      <c r="A13">
        <v>8039</v>
      </c>
      <c r="B13" t="s">
        <v>25</v>
      </c>
      <c r="C13" t="s">
        <v>19</v>
      </c>
      <c r="D13">
        <v>3360.96</v>
      </c>
      <c r="E13">
        <v>0.13</v>
      </c>
      <c r="F13">
        <v>0.16</v>
      </c>
      <c r="G13">
        <v>20</v>
      </c>
      <c r="H13">
        <v>1</v>
      </c>
      <c r="I13">
        <v>13</v>
      </c>
      <c r="J13">
        <v>0</v>
      </c>
      <c r="K13" t="s">
        <v>23</v>
      </c>
      <c r="L13" t="s">
        <v>24</v>
      </c>
      <c r="M13">
        <v>1</v>
      </c>
    </row>
    <row r="14" spans="1:13" x14ac:dyDescent="0.35">
      <c r="A14">
        <v>8040</v>
      </c>
      <c r="B14" t="s">
        <v>28</v>
      </c>
      <c r="C14" t="s">
        <v>19</v>
      </c>
      <c r="D14">
        <v>4101.22</v>
      </c>
      <c r="E14">
        <v>0.28000000000000003</v>
      </c>
      <c r="F14">
        <v>0.1</v>
      </c>
      <c r="G14">
        <v>24</v>
      </c>
      <c r="H14">
        <v>13</v>
      </c>
      <c r="I14">
        <v>4</v>
      </c>
      <c r="J14">
        <v>7</v>
      </c>
      <c r="K14" t="s">
        <v>23</v>
      </c>
      <c r="L14" t="s">
        <v>24</v>
      </c>
      <c r="M14">
        <v>1</v>
      </c>
    </row>
    <row r="15" spans="1:13" x14ac:dyDescent="0.35">
      <c r="A15">
        <v>8041</v>
      </c>
      <c r="B15" t="s">
        <v>31</v>
      </c>
      <c r="C15" t="s">
        <v>19</v>
      </c>
      <c r="D15">
        <v>9087.27</v>
      </c>
      <c r="E15">
        <v>0.02</v>
      </c>
      <c r="F15">
        <v>0.1</v>
      </c>
      <c r="G15">
        <v>39</v>
      </c>
      <c r="H15">
        <v>49</v>
      </c>
      <c r="I15">
        <v>14</v>
      </c>
      <c r="J15">
        <v>3</v>
      </c>
      <c r="K15" t="s">
        <v>23</v>
      </c>
      <c r="L15" t="s">
        <v>24</v>
      </c>
      <c r="M15">
        <v>1</v>
      </c>
    </row>
    <row r="16" spans="1:13" x14ac:dyDescent="0.35">
      <c r="A16">
        <v>8043</v>
      </c>
      <c r="B16" t="s">
        <v>29</v>
      </c>
      <c r="C16" t="s">
        <v>32</v>
      </c>
      <c r="D16">
        <v>5705.13</v>
      </c>
      <c r="E16">
        <v>0.05</v>
      </c>
      <c r="F16">
        <v>0.19</v>
      </c>
      <c r="G16">
        <v>21</v>
      </c>
      <c r="H16">
        <v>33</v>
      </c>
      <c r="I16">
        <v>5</v>
      </c>
      <c r="J16">
        <v>9</v>
      </c>
      <c r="K16" t="s">
        <v>23</v>
      </c>
      <c r="L16" t="s">
        <v>24</v>
      </c>
      <c r="M16">
        <v>0</v>
      </c>
    </row>
    <row r="17" spans="1:13" x14ac:dyDescent="0.35">
      <c r="A17">
        <v>8045</v>
      </c>
      <c r="B17" t="s">
        <v>31</v>
      </c>
      <c r="C17" t="s">
        <v>26</v>
      </c>
      <c r="D17">
        <v>5036.7299999999996</v>
      </c>
      <c r="E17">
        <v>0.15</v>
      </c>
      <c r="F17">
        <v>0.09</v>
      </c>
      <c r="G17">
        <v>7</v>
      </c>
      <c r="H17">
        <v>91</v>
      </c>
      <c r="I17">
        <v>15</v>
      </c>
      <c r="J17">
        <v>3</v>
      </c>
      <c r="K17" t="s">
        <v>23</v>
      </c>
      <c r="L17" t="s">
        <v>24</v>
      </c>
      <c r="M17">
        <v>1</v>
      </c>
    </row>
    <row r="18" spans="1:13" x14ac:dyDescent="0.35">
      <c r="A18">
        <v>8046</v>
      </c>
      <c r="B18" t="s">
        <v>28</v>
      </c>
      <c r="C18" t="s">
        <v>32</v>
      </c>
      <c r="D18">
        <v>9190.27</v>
      </c>
      <c r="E18">
        <v>0.12</v>
      </c>
      <c r="F18">
        <v>0.16</v>
      </c>
      <c r="G18">
        <v>23</v>
      </c>
      <c r="H18">
        <v>38</v>
      </c>
      <c r="I18">
        <v>18</v>
      </c>
      <c r="J18">
        <v>7</v>
      </c>
      <c r="K18" t="s">
        <v>23</v>
      </c>
      <c r="L18" t="s">
        <v>24</v>
      </c>
      <c r="M18">
        <v>1</v>
      </c>
    </row>
    <row r="19" spans="1:13" x14ac:dyDescent="0.35">
      <c r="A19">
        <v>8049</v>
      </c>
      <c r="B19" t="s">
        <v>29</v>
      </c>
      <c r="C19" t="s">
        <v>32</v>
      </c>
      <c r="D19">
        <v>408.69</v>
      </c>
      <c r="E19">
        <v>0.2</v>
      </c>
      <c r="F19">
        <v>0.11</v>
      </c>
      <c r="G19">
        <v>46</v>
      </c>
      <c r="H19">
        <v>96</v>
      </c>
      <c r="I19">
        <v>17</v>
      </c>
      <c r="J19">
        <v>4</v>
      </c>
      <c r="K19" t="s">
        <v>23</v>
      </c>
      <c r="L19" t="s">
        <v>24</v>
      </c>
      <c r="M19">
        <v>1</v>
      </c>
    </row>
    <row r="20" spans="1:13" x14ac:dyDescent="0.35">
      <c r="A20">
        <v>8055</v>
      </c>
      <c r="B20" t="s">
        <v>28</v>
      </c>
      <c r="C20" t="s">
        <v>30</v>
      </c>
      <c r="D20">
        <v>7856.01</v>
      </c>
      <c r="E20">
        <v>0.09</v>
      </c>
      <c r="F20">
        <v>7.0000000000000007E-2</v>
      </c>
      <c r="G20">
        <v>22</v>
      </c>
      <c r="H20">
        <v>87</v>
      </c>
      <c r="I20">
        <v>3</v>
      </c>
      <c r="J20">
        <v>8</v>
      </c>
      <c r="K20" t="s">
        <v>23</v>
      </c>
      <c r="L20" t="s">
        <v>24</v>
      </c>
      <c r="M20">
        <v>1</v>
      </c>
    </row>
    <row r="21" spans="1:13" x14ac:dyDescent="0.35">
      <c r="A21">
        <v>8057</v>
      </c>
      <c r="B21" t="s">
        <v>22</v>
      </c>
      <c r="C21" t="s">
        <v>26</v>
      </c>
      <c r="D21">
        <v>7830.39</v>
      </c>
      <c r="E21">
        <v>0.04</v>
      </c>
      <c r="F21">
        <v>0.12</v>
      </c>
      <c r="G21">
        <v>37</v>
      </c>
      <c r="H21">
        <v>68</v>
      </c>
      <c r="I21">
        <v>5</v>
      </c>
      <c r="J21">
        <v>3</v>
      </c>
      <c r="K21" t="s">
        <v>23</v>
      </c>
      <c r="L21" t="s">
        <v>24</v>
      </c>
      <c r="M21">
        <v>1</v>
      </c>
    </row>
    <row r="22" spans="1:13" x14ac:dyDescent="0.35">
      <c r="A22">
        <v>8071</v>
      </c>
      <c r="B22" t="s">
        <v>22</v>
      </c>
      <c r="C22" t="s">
        <v>19</v>
      </c>
      <c r="D22">
        <v>3042.86</v>
      </c>
      <c r="E22">
        <v>0.3</v>
      </c>
      <c r="F22">
        <v>0.14000000000000001</v>
      </c>
      <c r="G22">
        <v>43</v>
      </c>
      <c r="H22">
        <v>46</v>
      </c>
      <c r="I22">
        <v>4</v>
      </c>
      <c r="J22">
        <v>5</v>
      </c>
      <c r="K22" t="s">
        <v>23</v>
      </c>
      <c r="L22" t="s">
        <v>24</v>
      </c>
      <c r="M22">
        <v>1</v>
      </c>
    </row>
    <row r="23" spans="1:13" x14ac:dyDescent="0.35">
      <c r="A23">
        <v>8072</v>
      </c>
      <c r="B23" t="s">
        <v>28</v>
      </c>
      <c r="C23" t="s">
        <v>30</v>
      </c>
      <c r="D23">
        <v>6536.09</v>
      </c>
      <c r="E23">
        <v>0.13</v>
      </c>
      <c r="F23">
        <v>0.17</v>
      </c>
      <c r="G23">
        <v>44</v>
      </c>
      <c r="H23">
        <v>8</v>
      </c>
      <c r="I23">
        <v>5</v>
      </c>
      <c r="J23">
        <v>5</v>
      </c>
      <c r="K23" t="s">
        <v>23</v>
      </c>
      <c r="L23" t="s">
        <v>24</v>
      </c>
      <c r="M23">
        <v>1</v>
      </c>
    </row>
    <row r="24" spans="1:13" x14ac:dyDescent="0.35">
      <c r="A24">
        <v>8074</v>
      </c>
      <c r="B24" t="s">
        <v>22</v>
      </c>
      <c r="C24" t="s">
        <v>26</v>
      </c>
      <c r="D24">
        <v>6808.22</v>
      </c>
      <c r="E24">
        <v>0.06</v>
      </c>
      <c r="F24">
        <v>0.09</v>
      </c>
      <c r="G24">
        <v>49</v>
      </c>
      <c r="H24">
        <v>0</v>
      </c>
      <c r="I24">
        <v>8</v>
      </c>
      <c r="J24">
        <v>1</v>
      </c>
      <c r="K24" t="s">
        <v>23</v>
      </c>
      <c r="L24" t="s">
        <v>24</v>
      </c>
      <c r="M24">
        <v>1</v>
      </c>
    </row>
    <row r="25" spans="1:13" x14ac:dyDescent="0.35">
      <c r="A25">
        <v>8084</v>
      </c>
      <c r="B25" t="s">
        <v>31</v>
      </c>
      <c r="C25" t="s">
        <v>30</v>
      </c>
      <c r="D25">
        <v>6979.08</v>
      </c>
      <c r="E25">
        <v>7.0000000000000007E-2</v>
      </c>
      <c r="F25">
        <v>0.1</v>
      </c>
      <c r="G25">
        <v>16</v>
      </c>
      <c r="H25">
        <v>59</v>
      </c>
      <c r="I25">
        <v>10</v>
      </c>
      <c r="J25">
        <v>6</v>
      </c>
      <c r="K25" t="s">
        <v>23</v>
      </c>
      <c r="L25" t="s">
        <v>24</v>
      </c>
      <c r="M25">
        <v>1</v>
      </c>
    </row>
    <row r="26" spans="1:13" x14ac:dyDescent="0.35">
      <c r="A26">
        <v>8085</v>
      </c>
      <c r="B26" t="s">
        <v>29</v>
      </c>
      <c r="C26" t="s">
        <v>26</v>
      </c>
      <c r="D26">
        <v>6053.54</v>
      </c>
      <c r="E26">
        <v>0.22</v>
      </c>
      <c r="F26">
        <v>0.06</v>
      </c>
      <c r="G26">
        <v>25</v>
      </c>
      <c r="H26">
        <v>87</v>
      </c>
      <c r="I26">
        <v>5</v>
      </c>
      <c r="J26">
        <v>1</v>
      </c>
      <c r="K26" t="s">
        <v>23</v>
      </c>
      <c r="L26" t="s">
        <v>24</v>
      </c>
      <c r="M26">
        <v>1</v>
      </c>
    </row>
    <row r="27" spans="1:13" x14ac:dyDescent="0.35">
      <c r="A27">
        <v>8087</v>
      </c>
      <c r="B27" t="s">
        <v>28</v>
      </c>
      <c r="C27" t="s">
        <v>26</v>
      </c>
      <c r="D27">
        <v>9033.8799999999992</v>
      </c>
      <c r="E27">
        <v>0.16</v>
      </c>
      <c r="F27">
        <v>0.02</v>
      </c>
      <c r="G27">
        <v>43</v>
      </c>
      <c r="H27">
        <v>38</v>
      </c>
      <c r="I27">
        <v>6</v>
      </c>
      <c r="J27">
        <v>9</v>
      </c>
      <c r="K27" t="s">
        <v>23</v>
      </c>
      <c r="L27" t="s">
        <v>24</v>
      </c>
      <c r="M27">
        <v>1</v>
      </c>
    </row>
    <row r="28" spans="1:13" x14ac:dyDescent="0.35">
      <c r="A28">
        <v>8088</v>
      </c>
      <c r="B28" t="s">
        <v>28</v>
      </c>
      <c r="C28" t="s">
        <v>26</v>
      </c>
      <c r="D28">
        <v>3027.52</v>
      </c>
      <c r="E28">
        <v>0.09</v>
      </c>
      <c r="F28">
        <v>0.19</v>
      </c>
      <c r="G28">
        <v>6</v>
      </c>
      <c r="H28">
        <v>2</v>
      </c>
      <c r="I28">
        <v>15</v>
      </c>
      <c r="J28">
        <v>6</v>
      </c>
      <c r="K28" t="s">
        <v>23</v>
      </c>
      <c r="L28" t="s">
        <v>24</v>
      </c>
      <c r="M28">
        <v>1</v>
      </c>
    </row>
    <row r="29" spans="1:13" x14ac:dyDescent="0.35">
      <c r="A29">
        <v>8090</v>
      </c>
      <c r="B29" t="s">
        <v>25</v>
      </c>
      <c r="C29" t="s">
        <v>30</v>
      </c>
      <c r="D29">
        <v>2047.73</v>
      </c>
      <c r="E29">
        <v>0.21</v>
      </c>
      <c r="F29">
        <v>0.08</v>
      </c>
      <c r="G29">
        <v>34</v>
      </c>
      <c r="H29">
        <v>67</v>
      </c>
      <c r="I29">
        <v>12</v>
      </c>
      <c r="J29">
        <v>5</v>
      </c>
      <c r="K29" t="s">
        <v>23</v>
      </c>
      <c r="L29" t="s">
        <v>24</v>
      </c>
      <c r="M29">
        <v>1</v>
      </c>
    </row>
    <row r="30" spans="1:13" x14ac:dyDescent="0.35">
      <c r="A30">
        <v>8092</v>
      </c>
      <c r="B30" t="s">
        <v>22</v>
      </c>
      <c r="C30" t="s">
        <v>19</v>
      </c>
      <c r="D30">
        <v>3258.04</v>
      </c>
      <c r="E30">
        <v>0.22</v>
      </c>
      <c r="F30">
        <v>0.15</v>
      </c>
      <c r="G30">
        <v>46</v>
      </c>
      <c r="H30">
        <v>66</v>
      </c>
      <c r="I30">
        <v>0</v>
      </c>
      <c r="J30">
        <v>7</v>
      </c>
      <c r="K30" t="s">
        <v>23</v>
      </c>
      <c r="L30" t="s">
        <v>24</v>
      </c>
      <c r="M30">
        <v>1</v>
      </c>
    </row>
    <row r="31" spans="1:13" x14ac:dyDescent="0.35">
      <c r="A31">
        <v>8094</v>
      </c>
      <c r="B31" t="s">
        <v>25</v>
      </c>
      <c r="C31" t="s">
        <v>32</v>
      </c>
      <c r="D31">
        <v>6550.14</v>
      </c>
      <c r="E31">
        <v>0.19</v>
      </c>
      <c r="F31">
        <v>0.2</v>
      </c>
      <c r="G31">
        <v>43</v>
      </c>
      <c r="H31">
        <v>57</v>
      </c>
      <c r="I31">
        <v>15</v>
      </c>
      <c r="J31">
        <v>9</v>
      </c>
      <c r="K31" t="s">
        <v>23</v>
      </c>
      <c r="L31" t="s">
        <v>24</v>
      </c>
      <c r="M31">
        <v>1</v>
      </c>
    </row>
    <row r="32" spans="1:13" x14ac:dyDescent="0.35">
      <c r="A32">
        <v>8096</v>
      </c>
      <c r="B32" t="s">
        <v>25</v>
      </c>
      <c r="C32" t="s">
        <v>26</v>
      </c>
      <c r="D32">
        <v>7909.34</v>
      </c>
      <c r="E32">
        <v>0.06</v>
      </c>
      <c r="F32">
        <v>0.16</v>
      </c>
      <c r="G32">
        <v>0</v>
      </c>
      <c r="H32">
        <v>52</v>
      </c>
      <c r="I32">
        <v>11</v>
      </c>
      <c r="J32">
        <v>0</v>
      </c>
      <c r="K32" t="s">
        <v>23</v>
      </c>
      <c r="L32" t="s">
        <v>24</v>
      </c>
      <c r="M32">
        <v>1</v>
      </c>
    </row>
    <row r="33" spans="1:13" x14ac:dyDescent="0.35">
      <c r="A33">
        <v>8097</v>
      </c>
      <c r="B33" t="s">
        <v>29</v>
      </c>
      <c r="C33" t="s">
        <v>32</v>
      </c>
      <c r="D33">
        <v>5091.78</v>
      </c>
      <c r="E33">
        <v>0.19</v>
      </c>
      <c r="F33">
        <v>0.03</v>
      </c>
      <c r="G33">
        <v>24</v>
      </c>
      <c r="H33">
        <v>13</v>
      </c>
      <c r="I33">
        <v>8</v>
      </c>
      <c r="J33">
        <v>7</v>
      </c>
      <c r="K33" t="s">
        <v>23</v>
      </c>
      <c r="L33" t="s">
        <v>24</v>
      </c>
      <c r="M33">
        <v>1</v>
      </c>
    </row>
    <row r="34" spans="1:13" x14ac:dyDescent="0.35">
      <c r="A34">
        <v>8102</v>
      </c>
      <c r="B34" t="s">
        <v>28</v>
      </c>
      <c r="C34" t="s">
        <v>30</v>
      </c>
      <c r="D34">
        <v>1031.98</v>
      </c>
      <c r="E34">
        <v>0.15</v>
      </c>
      <c r="F34">
        <v>0.1</v>
      </c>
      <c r="G34">
        <v>38</v>
      </c>
      <c r="H34">
        <v>62</v>
      </c>
      <c r="I34">
        <v>9</v>
      </c>
      <c r="J34">
        <v>1</v>
      </c>
      <c r="K34" t="s">
        <v>23</v>
      </c>
      <c r="L34" t="s">
        <v>24</v>
      </c>
      <c r="M34">
        <v>1</v>
      </c>
    </row>
    <row r="35" spans="1:13" x14ac:dyDescent="0.35">
      <c r="A35">
        <v>8103</v>
      </c>
      <c r="B35" t="s">
        <v>31</v>
      </c>
      <c r="C35" t="s">
        <v>26</v>
      </c>
      <c r="D35">
        <v>3097.02</v>
      </c>
      <c r="E35">
        <v>0.28999999999999998</v>
      </c>
      <c r="F35">
        <v>0.19</v>
      </c>
      <c r="G35">
        <v>2</v>
      </c>
      <c r="H35">
        <v>60</v>
      </c>
      <c r="I35">
        <v>2</v>
      </c>
      <c r="J35">
        <v>4</v>
      </c>
      <c r="K35" t="s">
        <v>23</v>
      </c>
      <c r="L35" t="s">
        <v>24</v>
      </c>
      <c r="M35">
        <v>1</v>
      </c>
    </row>
    <row r="36" spans="1:13" x14ac:dyDescent="0.35">
      <c r="A36">
        <v>8105</v>
      </c>
      <c r="B36" t="s">
        <v>31</v>
      </c>
      <c r="C36" t="s">
        <v>30</v>
      </c>
      <c r="D36">
        <v>6610.06</v>
      </c>
      <c r="E36">
        <v>0.26</v>
      </c>
      <c r="F36">
        <v>0.09</v>
      </c>
      <c r="G36">
        <v>44</v>
      </c>
      <c r="H36">
        <v>36</v>
      </c>
      <c r="I36">
        <v>11</v>
      </c>
      <c r="J36">
        <v>6</v>
      </c>
      <c r="K36" t="s">
        <v>23</v>
      </c>
      <c r="L36" t="s">
        <v>24</v>
      </c>
      <c r="M36">
        <v>1</v>
      </c>
    </row>
    <row r="37" spans="1:13" x14ac:dyDescent="0.35">
      <c r="A37">
        <v>8107</v>
      </c>
      <c r="B37" t="s">
        <v>22</v>
      </c>
      <c r="C37" t="s">
        <v>32</v>
      </c>
      <c r="D37">
        <v>1206.6600000000001</v>
      </c>
      <c r="E37">
        <v>0.16</v>
      </c>
      <c r="F37">
        <v>0.19</v>
      </c>
      <c r="G37">
        <v>38</v>
      </c>
      <c r="H37">
        <v>88</v>
      </c>
      <c r="I37">
        <v>13</v>
      </c>
      <c r="J37">
        <v>4</v>
      </c>
      <c r="K37" t="s">
        <v>23</v>
      </c>
      <c r="L37" t="s">
        <v>24</v>
      </c>
      <c r="M37">
        <v>1</v>
      </c>
    </row>
    <row r="38" spans="1:13" x14ac:dyDescent="0.35">
      <c r="A38">
        <v>8117</v>
      </c>
      <c r="B38" t="s">
        <v>25</v>
      </c>
      <c r="C38" t="s">
        <v>26</v>
      </c>
      <c r="D38">
        <v>4201.3900000000003</v>
      </c>
      <c r="E38">
        <v>0.09</v>
      </c>
      <c r="F38">
        <v>0.19</v>
      </c>
      <c r="G38">
        <v>14</v>
      </c>
      <c r="H38">
        <v>57</v>
      </c>
      <c r="I38">
        <v>6</v>
      </c>
      <c r="J38">
        <v>9</v>
      </c>
      <c r="K38" t="s">
        <v>23</v>
      </c>
      <c r="L38" t="s">
        <v>24</v>
      </c>
      <c r="M38">
        <v>1</v>
      </c>
    </row>
    <row r="39" spans="1:13" x14ac:dyDescent="0.35">
      <c r="A39">
        <v>8118</v>
      </c>
      <c r="B39" t="s">
        <v>29</v>
      </c>
      <c r="C39" t="s">
        <v>19</v>
      </c>
      <c r="D39">
        <v>2013.37</v>
      </c>
      <c r="E39">
        <v>0.28000000000000003</v>
      </c>
      <c r="F39">
        <v>0.04</v>
      </c>
      <c r="G39">
        <v>31</v>
      </c>
      <c r="H39">
        <v>39</v>
      </c>
      <c r="I39">
        <v>10</v>
      </c>
      <c r="J39">
        <v>0</v>
      </c>
      <c r="K39" t="s">
        <v>23</v>
      </c>
      <c r="L39" t="s">
        <v>24</v>
      </c>
      <c r="M39">
        <v>1</v>
      </c>
    </row>
    <row r="40" spans="1:13" x14ac:dyDescent="0.35">
      <c r="A40">
        <v>8121</v>
      </c>
      <c r="B40" t="s">
        <v>28</v>
      </c>
      <c r="C40" t="s">
        <v>19</v>
      </c>
      <c r="D40">
        <v>1200.55</v>
      </c>
      <c r="E40">
        <v>0.05</v>
      </c>
      <c r="F40">
        <v>0.11</v>
      </c>
      <c r="G40">
        <v>11</v>
      </c>
      <c r="H40">
        <v>90</v>
      </c>
      <c r="I40">
        <v>14</v>
      </c>
      <c r="J40">
        <v>6</v>
      </c>
      <c r="K40" t="s">
        <v>23</v>
      </c>
      <c r="L40" t="s">
        <v>24</v>
      </c>
      <c r="M40">
        <v>1</v>
      </c>
    </row>
    <row r="41" spans="1:13" x14ac:dyDescent="0.35">
      <c r="A41">
        <v>8122</v>
      </c>
      <c r="B41" t="s">
        <v>31</v>
      </c>
      <c r="C41" t="s">
        <v>30</v>
      </c>
      <c r="D41">
        <v>505.86</v>
      </c>
      <c r="E41">
        <v>0.09</v>
      </c>
      <c r="F41">
        <v>0.15</v>
      </c>
      <c r="G41">
        <v>24</v>
      </c>
      <c r="H41">
        <v>14</v>
      </c>
      <c r="I41">
        <v>1</v>
      </c>
      <c r="J41">
        <v>6</v>
      </c>
      <c r="K41" t="s">
        <v>23</v>
      </c>
      <c r="L41" t="s">
        <v>24</v>
      </c>
      <c r="M41">
        <v>1</v>
      </c>
    </row>
    <row r="42" spans="1:13" x14ac:dyDescent="0.35">
      <c r="A42">
        <v>8123</v>
      </c>
      <c r="B42" t="s">
        <v>31</v>
      </c>
      <c r="C42" t="s">
        <v>19</v>
      </c>
      <c r="D42">
        <v>3407.38</v>
      </c>
      <c r="E42">
        <v>0.18</v>
      </c>
      <c r="F42">
        <v>0.17</v>
      </c>
      <c r="G42">
        <v>33</v>
      </c>
      <c r="H42">
        <v>84</v>
      </c>
      <c r="I42">
        <v>11</v>
      </c>
      <c r="J42">
        <v>7</v>
      </c>
      <c r="K42" t="s">
        <v>23</v>
      </c>
      <c r="L42" t="s">
        <v>24</v>
      </c>
      <c r="M42">
        <v>1</v>
      </c>
    </row>
    <row r="43" spans="1:13" x14ac:dyDescent="0.35">
      <c r="A43">
        <v>8126</v>
      </c>
      <c r="B43" t="s">
        <v>28</v>
      </c>
      <c r="C43" t="s">
        <v>19</v>
      </c>
      <c r="D43">
        <v>5506.02</v>
      </c>
      <c r="E43">
        <v>0.26</v>
      </c>
      <c r="F43">
        <v>0.16</v>
      </c>
      <c r="G43">
        <v>44</v>
      </c>
      <c r="H43">
        <v>4</v>
      </c>
      <c r="I43">
        <v>9</v>
      </c>
      <c r="J43">
        <v>9</v>
      </c>
      <c r="K43" t="s">
        <v>23</v>
      </c>
      <c r="L43" t="s">
        <v>24</v>
      </c>
      <c r="M43">
        <v>1</v>
      </c>
    </row>
    <row r="44" spans="1:13" x14ac:dyDescent="0.35">
      <c r="A44">
        <v>8128</v>
      </c>
      <c r="B44" t="s">
        <v>29</v>
      </c>
      <c r="C44" t="s">
        <v>26</v>
      </c>
      <c r="D44">
        <v>8018.6</v>
      </c>
      <c r="E44">
        <v>7.0000000000000007E-2</v>
      </c>
      <c r="F44">
        <v>0.06</v>
      </c>
      <c r="G44">
        <v>24</v>
      </c>
      <c r="H44">
        <v>69</v>
      </c>
      <c r="I44">
        <v>7</v>
      </c>
      <c r="J44">
        <v>8</v>
      </c>
      <c r="K44" t="s">
        <v>23</v>
      </c>
      <c r="L44" t="s">
        <v>24</v>
      </c>
      <c r="M44">
        <v>1</v>
      </c>
    </row>
    <row r="45" spans="1:13" x14ac:dyDescent="0.35">
      <c r="A45">
        <v>8130</v>
      </c>
      <c r="B45" t="s">
        <v>25</v>
      </c>
      <c r="C45" t="s">
        <v>19</v>
      </c>
      <c r="D45">
        <v>6150.43</v>
      </c>
      <c r="E45">
        <v>0.05</v>
      </c>
      <c r="F45">
        <v>0.2</v>
      </c>
      <c r="G45">
        <v>13</v>
      </c>
      <c r="H45">
        <v>27</v>
      </c>
      <c r="I45">
        <v>19</v>
      </c>
      <c r="J45">
        <v>6</v>
      </c>
      <c r="K45" t="s">
        <v>23</v>
      </c>
      <c r="L45" t="s">
        <v>24</v>
      </c>
      <c r="M45">
        <v>1</v>
      </c>
    </row>
    <row r="46" spans="1:13" x14ac:dyDescent="0.35">
      <c r="A46">
        <v>8131</v>
      </c>
      <c r="B46" t="s">
        <v>31</v>
      </c>
      <c r="C46" t="s">
        <v>19</v>
      </c>
      <c r="D46">
        <v>5210.55</v>
      </c>
      <c r="E46">
        <v>0.27</v>
      </c>
      <c r="F46">
        <v>0.08</v>
      </c>
      <c r="G46">
        <v>35</v>
      </c>
      <c r="H46">
        <v>53</v>
      </c>
      <c r="I46">
        <v>4</v>
      </c>
      <c r="J46">
        <v>6</v>
      </c>
      <c r="K46" t="s">
        <v>23</v>
      </c>
      <c r="L46" t="s">
        <v>24</v>
      </c>
      <c r="M46">
        <v>1</v>
      </c>
    </row>
    <row r="47" spans="1:13" x14ac:dyDescent="0.35">
      <c r="A47">
        <v>8142</v>
      </c>
      <c r="B47" t="s">
        <v>22</v>
      </c>
      <c r="C47" t="s">
        <v>32</v>
      </c>
      <c r="D47">
        <v>1508.76</v>
      </c>
      <c r="E47">
        <v>0.03</v>
      </c>
      <c r="F47">
        <v>0.03</v>
      </c>
      <c r="G47">
        <v>38</v>
      </c>
      <c r="H47">
        <v>12</v>
      </c>
      <c r="I47">
        <v>19</v>
      </c>
      <c r="J47">
        <v>0</v>
      </c>
      <c r="K47" t="s">
        <v>23</v>
      </c>
      <c r="L47" t="s">
        <v>24</v>
      </c>
      <c r="M47">
        <v>0</v>
      </c>
    </row>
    <row r="48" spans="1:13" x14ac:dyDescent="0.35">
      <c r="A48">
        <v>8147</v>
      </c>
      <c r="B48" t="s">
        <v>29</v>
      </c>
      <c r="C48" t="s">
        <v>19</v>
      </c>
      <c r="D48">
        <v>5141.04</v>
      </c>
      <c r="E48">
        <v>0.25</v>
      </c>
      <c r="F48">
        <v>0.02</v>
      </c>
      <c r="G48">
        <v>36</v>
      </c>
      <c r="H48">
        <v>58</v>
      </c>
      <c r="I48">
        <v>7</v>
      </c>
      <c r="J48">
        <v>7</v>
      </c>
      <c r="K48" t="s">
        <v>23</v>
      </c>
      <c r="L48" t="s">
        <v>24</v>
      </c>
      <c r="M48">
        <v>1</v>
      </c>
    </row>
    <row r="49" spans="1:13" x14ac:dyDescent="0.35">
      <c r="A49">
        <v>8149</v>
      </c>
      <c r="B49" t="s">
        <v>31</v>
      </c>
      <c r="C49" t="s">
        <v>30</v>
      </c>
      <c r="D49">
        <v>5423.01</v>
      </c>
      <c r="E49">
        <v>0.04</v>
      </c>
      <c r="F49">
        <v>0.18</v>
      </c>
      <c r="G49">
        <v>35</v>
      </c>
      <c r="H49">
        <v>71</v>
      </c>
      <c r="I49">
        <v>14</v>
      </c>
      <c r="J49">
        <v>6</v>
      </c>
      <c r="K49" t="s">
        <v>23</v>
      </c>
      <c r="L49" t="s">
        <v>24</v>
      </c>
      <c r="M49">
        <v>1</v>
      </c>
    </row>
    <row r="50" spans="1:13" x14ac:dyDescent="0.35">
      <c r="A50">
        <v>8156</v>
      </c>
      <c r="B50" t="s">
        <v>31</v>
      </c>
      <c r="C50" t="s">
        <v>26</v>
      </c>
      <c r="D50">
        <v>4506.25</v>
      </c>
      <c r="E50">
        <v>0.25</v>
      </c>
      <c r="F50">
        <v>0.11</v>
      </c>
      <c r="G50">
        <v>7</v>
      </c>
      <c r="H50">
        <v>57</v>
      </c>
      <c r="I50">
        <v>18</v>
      </c>
      <c r="J50">
        <v>4</v>
      </c>
      <c r="K50" t="s">
        <v>23</v>
      </c>
      <c r="L50" t="s">
        <v>24</v>
      </c>
      <c r="M50">
        <v>1</v>
      </c>
    </row>
    <row r="51" spans="1:13" x14ac:dyDescent="0.35">
      <c r="A51">
        <v>8159</v>
      </c>
      <c r="B51" t="s">
        <v>25</v>
      </c>
      <c r="C51" t="s">
        <v>26</v>
      </c>
      <c r="D51">
        <v>1050.92</v>
      </c>
      <c r="E51">
        <v>0.15</v>
      </c>
      <c r="F51">
        <v>0.09</v>
      </c>
      <c r="G51">
        <v>15</v>
      </c>
      <c r="H51">
        <v>92</v>
      </c>
      <c r="I51">
        <v>11</v>
      </c>
      <c r="J51">
        <v>1</v>
      </c>
      <c r="K51" t="s">
        <v>23</v>
      </c>
      <c r="L51" t="s">
        <v>24</v>
      </c>
      <c r="M51">
        <v>1</v>
      </c>
    </row>
    <row r="52" spans="1:13" x14ac:dyDescent="0.35">
      <c r="A52">
        <v>8165</v>
      </c>
      <c r="B52" t="s">
        <v>29</v>
      </c>
      <c r="C52" t="s">
        <v>26</v>
      </c>
      <c r="D52">
        <v>1430.62</v>
      </c>
      <c r="E52">
        <v>0.17</v>
      </c>
      <c r="F52">
        <v>0.06</v>
      </c>
      <c r="G52">
        <v>33</v>
      </c>
      <c r="H52">
        <v>19</v>
      </c>
      <c r="I52">
        <v>8</v>
      </c>
      <c r="J52">
        <v>5</v>
      </c>
      <c r="K52" t="s">
        <v>23</v>
      </c>
      <c r="L52" t="s">
        <v>24</v>
      </c>
      <c r="M52">
        <v>1</v>
      </c>
    </row>
    <row r="53" spans="1:13" x14ac:dyDescent="0.35">
      <c r="A53">
        <v>8167</v>
      </c>
      <c r="B53" t="s">
        <v>29</v>
      </c>
      <c r="C53" t="s">
        <v>26</v>
      </c>
      <c r="D53">
        <v>5970.85</v>
      </c>
      <c r="E53">
        <v>0.23</v>
      </c>
      <c r="F53">
        <v>0.16</v>
      </c>
      <c r="G53">
        <v>39</v>
      </c>
      <c r="H53">
        <v>25</v>
      </c>
      <c r="I53">
        <v>11</v>
      </c>
      <c r="J53">
        <v>8</v>
      </c>
      <c r="K53" t="s">
        <v>23</v>
      </c>
      <c r="L53" t="s">
        <v>24</v>
      </c>
      <c r="M53">
        <v>1</v>
      </c>
    </row>
    <row r="54" spans="1:13" x14ac:dyDescent="0.35">
      <c r="A54">
        <v>8171</v>
      </c>
      <c r="B54" t="s">
        <v>25</v>
      </c>
      <c r="C54" t="s">
        <v>19</v>
      </c>
      <c r="D54">
        <v>2205.5</v>
      </c>
      <c r="E54">
        <v>0.27</v>
      </c>
      <c r="F54">
        <v>0.16</v>
      </c>
      <c r="G54">
        <v>26</v>
      </c>
      <c r="H54">
        <v>81</v>
      </c>
      <c r="I54">
        <v>4</v>
      </c>
      <c r="J54">
        <v>6</v>
      </c>
      <c r="K54" t="s">
        <v>23</v>
      </c>
      <c r="L54" t="s">
        <v>24</v>
      </c>
      <c r="M54">
        <v>1</v>
      </c>
    </row>
    <row r="55" spans="1:13" x14ac:dyDescent="0.35">
      <c r="A55">
        <v>8172</v>
      </c>
      <c r="B55" t="s">
        <v>28</v>
      </c>
      <c r="C55" t="s">
        <v>30</v>
      </c>
      <c r="D55">
        <v>6079.48</v>
      </c>
      <c r="E55">
        <v>0.12</v>
      </c>
      <c r="F55">
        <v>0.12</v>
      </c>
      <c r="G55">
        <v>18</v>
      </c>
      <c r="H55">
        <v>58</v>
      </c>
      <c r="I55">
        <v>11</v>
      </c>
      <c r="J55">
        <v>2</v>
      </c>
      <c r="K55" t="s">
        <v>23</v>
      </c>
      <c r="L55" t="s">
        <v>24</v>
      </c>
      <c r="M55">
        <v>1</v>
      </c>
    </row>
    <row r="56" spans="1:13" x14ac:dyDescent="0.35">
      <c r="A56">
        <v>8173</v>
      </c>
      <c r="B56" t="s">
        <v>25</v>
      </c>
      <c r="C56" t="s">
        <v>26</v>
      </c>
      <c r="D56">
        <v>9550.16</v>
      </c>
      <c r="E56">
        <v>0.24</v>
      </c>
      <c r="F56">
        <v>0.05</v>
      </c>
      <c r="G56">
        <v>25</v>
      </c>
      <c r="H56">
        <v>2</v>
      </c>
      <c r="I56">
        <v>11</v>
      </c>
      <c r="J56">
        <v>0</v>
      </c>
      <c r="K56" t="s">
        <v>23</v>
      </c>
      <c r="L56" t="s">
        <v>24</v>
      </c>
      <c r="M56">
        <v>1</v>
      </c>
    </row>
    <row r="57" spans="1:13" x14ac:dyDescent="0.35">
      <c r="A57">
        <v>8181</v>
      </c>
      <c r="B57" t="s">
        <v>29</v>
      </c>
      <c r="C57" t="s">
        <v>26</v>
      </c>
      <c r="D57">
        <v>7210.62</v>
      </c>
      <c r="E57">
        <v>0.09</v>
      </c>
      <c r="F57">
        <v>7.0000000000000007E-2</v>
      </c>
      <c r="G57">
        <v>26</v>
      </c>
      <c r="H57">
        <v>29</v>
      </c>
      <c r="I57">
        <v>14</v>
      </c>
      <c r="J57">
        <v>1</v>
      </c>
      <c r="K57" t="s">
        <v>23</v>
      </c>
      <c r="L57" t="s">
        <v>24</v>
      </c>
      <c r="M57">
        <v>1</v>
      </c>
    </row>
    <row r="58" spans="1:13" x14ac:dyDescent="0.35">
      <c r="A58">
        <v>8190</v>
      </c>
      <c r="B58" t="s">
        <v>29</v>
      </c>
      <c r="C58" t="s">
        <v>32</v>
      </c>
      <c r="D58">
        <v>7128.01</v>
      </c>
      <c r="E58">
        <v>0.1</v>
      </c>
      <c r="F58">
        <v>0.09</v>
      </c>
      <c r="G58">
        <v>3</v>
      </c>
      <c r="H58">
        <v>56</v>
      </c>
      <c r="I58">
        <v>7</v>
      </c>
      <c r="J58">
        <v>7</v>
      </c>
      <c r="K58" t="s">
        <v>23</v>
      </c>
      <c r="L58" t="s">
        <v>24</v>
      </c>
      <c r="M58">
        <v>1</v>
      </c>
    </row>
    <row r="59" spans="1:13" x14ac:dyDescent="0.35">
      <c r="A59">
        <v>8194</v>
      </c>
      <c r="B59" t="s">
        <v>29</v>
      </c>
      <c r="C59" t="s">
        <v>30</v>
      </c>
      <c r="D59">
        <v>294.08</v>
      </c>
      <c r="E59">
        <v>0.18</v>
      </c>
      <c r="F59">
        <v>0.15</v>
      </c>
      <c r="G59">
        <v>20</v>
      </c>
      <c r="H59">
        <v>16</v>
      </c>
      <c r="I59">
        <v>10</v>
      </c>
      <c r="J59">
        <v>3</v>
      </c>
      <c r="K59" t="s">
        <v>23</v>
      </c>
      <c r="L59" t="s">
        <v>24</v>
      </c>
      <c r="M59">
        <v>1</v>
      </c>
    </row>
    <row r="60" spans="1:13" x14ac:dyDescent="0.35">
      <c r="A60">
        <v>8195</v>
      </c>
      <c r="B60" t="s">
        <v>25</v>
      </c>
      <c r="C60" t="s">
        <v>30</v>
      </c>
      <c r="D60">
        <v>7190</v>
      </c>
      <c r="E60">
        <v>0.08</v>
      </c>
      <c r="F60">
        <v>0.03</v>
      </c>
      <c r="G60">
        <v>42</v>
      </c>
      <c r="H60">
        <v>52</v>
      </c>
      <c r="I60">
        <v>7</v>
      </c>
      <c r="J60">
        <v>5</v>
      </c>
      <c r="K60" t="s">
        <v>23</v>
      </c>
      <c r="L60" t="s">
        <v>24</v>
      </c>
      <c r="M60">
        <v>1</v>
      </c>
    </row>
    <row r="61" spans="1:13" x14ac:dyDescent="0.35">
      <c r="A61">
        <v>8196</v>
      </c>
      <c r="B61" t="s">
        <v>29</v>
      </c>
      <c r="C61" t="s">
        <v>32</v>
      </c>
      <c r="D61">
        <v>1110.4000000000001</v>
      </c>
      <c r="E61">
        <v>0.24</v>
      </c>
      <c r="F61">
        <v>0.17</v>
      </c>
      <c r="G61">
        <v>38</v>
      </c>
      <c r="H61">
        <v>39</v>
      </c>
      <c r="I61">
        <v>5</v>
      </c>
      <c r="J61">
        <v>0</v>
      </c>
      <c r="K61" t="s">
        <v>23</v>
      </c>
      <c r="L61" t="s">
        <v>24</v>
      </c>
      <c r="M61">
        <v>0</v>
      </c>
    </row>
    <row r="62" spans="1:13" x14ac:dyDescent="0.35">
      <c r="A62">
        <v>8201</v>
      </c>
      <c r="B62" t="s">
        <v>22</v>
      </c>
      <c r="C62" t="s">
        <v>30</v>
      </c>
      <c r="D62">
        <v>460.07</v>
      </c>
      <c r="E62">
        <v>0.08</v>
      </c>
      <c r="F62">
        <v>0.06</v>
      </c>
      <c r="G62">
        <v>43</v>
      </c>
      <c r="H62">
        <v>71</v>
      </c>
      <c r="I62">
        <v>7</v>
      </c>
      <c r="J62">
        <v>1</v>
      </c>
      <c r="K62" t="s">
        <v>23</v>
      </c>
      <c r="L62" t="s">
        <v>24</v>
      </c>
      <c r="M62">
        <v>1</v>
      </c>
    </row>
    <row r="63" spans="1:13" x14ac:dyDescent="0.35">
      <c r="A63">
        <v>8203</v>
      </c>
      <c r="B63" t="s">
        <v>29</v>
      </c>
      <c r="C63" t="s">
        <v>19</v>
      </c>
      <c r="D63">
        <v>6202.76</v>
      </c>
      <c r="E63">
        <v>0.24</v>
      </c>
      <c r="F63">
        <v>0.08</v>
      </c>
      <c r="G63">
        <v>32</v>
      </c>
      <c r="H63">
        <v>29</v>
      </c>
      <c r="I63">
        <v>9</v>
      </c>
      <c r="J63">
        <v>2</v>
      </c>
      <c r="K63" t="s">
        <v>23</v>
      </c>
      <c r="L63" t="s">
        <v>24</v>
      </c>
      <c r="M63">
        <v>1</v>
      </c>
    </row>
    <row r="64" spans="1:13" x14ac:dyDescent="0.35">
      <c r="A64">
        <v>8208</v>
      </c>
      <c r="B64" t="s">
        <v>29</v>
      </c>
      <c r="C64" t="s">
        <v>26</v>
      </c>
      <c r="D64">
        <v>6260.92</v>
      </c>
      <c r="E64">
        <v>0.28000000000000003</v>
      </c>
      <c r="F64">
        <v>0.01</v>
      </c>
      <c r="G64">
        <v>13</v>
      </c>
      <c r="H64">
        <v>56</v>
      </c>
      <c r="I64">
        <v>3</v>
      </c>
      <c r="J64">
        <v>5</v>
      </c>
      <c r="K64" t="s">
        <v>23</v>
      </c>
      <c r="L64" t="s">
        <v>24</v>
      </c>
      <c r="M64">
        <v>1</v>
      </c>
    </row>
    <row r="65" spans="1:13" x14ac:dyDescent="0.35">
      <c r="A65">
        <v>8209</v>
      </c>
      <c r="B65" t="s">
        <v>29</v>
      </c>
      <c r="C65" t="s">
        <v>19</v>
      </c>
      <c r="D65">
        <v>4259.0200000000004</v>
      </c>
      <c r="E65">
        <v>0.2</v>
      </c>
      <c r="F65">
        <v>0.19</v>
      </c>
      <c r="G65">
        <v>43</v>
      </c>
      <c r="H65">
        <v>69</v>
      </c>
      <c r="I65">
        <v>15</v>
      </c>
      <c r="J65">
        <v>0</v>
      </c>
      <c r="K65" t="s">
        <v>23</v>
      </c>
      <c r="L65" t="s">
        <v>24</v>
      </c>
      <c r="M65">
        <v>1</v>
      </c>
    </row>
    <row r="66" spans="1:13" x14ac:dyDescent="0.35">
      <c r="A66">
        <v>8211</v>
      </c>
      <c r="B66" t="s">
        <v>29</v>
      </c>
      <c r="C66" t="s">
        <v>26</v>
      </c>
      <c r="D66">
        <v>5282.04</v>
      </c>
      <c r="E66">
        <v>0.24</v>
      </c>
      <c r="F66">
        <v>0.19</v>
      </c>
      <c r="G66">
        <v>29</v>
      </c>
      <c r="H66">
        <v>76</v>
      </c>
      <c r="I66">
        <v>8</v>
      </c>
      <c r="J66">
        <v>4</v>
      </c>
      <c r="K66" t="s">
        <v>23</v>
      </c>
      <c r="L66" t="s">
        <v>24</v>
      </c>
      <c r="M66">
        <v>1</v>
      </c>
    </row>
    <row r="67" spans="1:13" x14ac:dyDescent="0.35">
      <c r="A67">
        <v>8213</v>
      </c>
      <c r="B67" t="s">
        <v>28</v>
      </c>
      <c r="C67" t="s">
        <v>19</v>
      </c>
      <c r="D67">
        <v>2308.23</v>
      </c>
      <c r="E67">
        <v>0.03</v>
      </c>
      <c r="F67">
        <v>0.05</v>
      </c>
      <c r="G67">
        <v>19</v>
      </c>
      <c r="H67">
        <v>24</v>
      </c>
      <c r="I67">
        <v>11</v>
      </c>
      <c r="J67">
        <v>7</v>
      </c>
      <c r="K67" t="s">
        <v>23</v>
      </c>
      <c r="L67" t="s">
        <v>24</v>
      </c>
      <c r="M67">
        <v>1</v>
      </c>
    </row>
    <row r="68" spans="1:13" x14ac:dyDescent="0.35">
      <c r="A68">
        <v>8215</v>
      </c>
      <c r="B68" t="s">
        <v>25</v>
      </c>
      <c r="C68" t="s">
        <v>26</v>
      </c>
      <c r="D68">
        <v>7007.48</v>
      </c>
      <c r="E68">
        <v>0.05</v>
      </c>
      <c r="F68">
        <v>0.13</v>
      </c>
      <c r="G68">
        <v>42</v>
      </c>
      <c r="H68">
        <v>72</v>
      </c>
      <c r="I68">
        <v>3</v>
      </c>
      <c r="J68">
        <v>7</v>
      </c>
      <c r="K68" t="s">
        <v>23</v>
      </c>
      <c r="L68" t="s">
        <v>24</v>
      </c>
      <c r="M68">
        <v>1</v>
      </c>
    </row>
    <row r="69" spans="1:13" x14ac:dyDescent="0.35">
      <c r="A69">
        <v>8221</v>
      </c>
      <c r="B69" t="s">
        <v>29</v>
      </c>
      <c r="C69" t="s">
        <v>30</v>
      </c>
      <c r="D69">
        <v>8860.42</v>
      </c>
      <c r="E69">
        <v>0.19</v>
      </c>
      <c r="F69">
        <v>0.19</v>
      </c>
      <c r="G69">
        <v>1</v>
      </c>
      <c r="H69">
        <v>89</v>
      </c>
      <c r="I69">
        <v>7</v>
      </c>
      <c r="J69">
        <v>2</v>
      </c>
      <c r="K69" t="s">
        <v>23</v>
      </c>
      <c r="L69" t="s">
        <v>24</v>
      </c>
      <c r="M69">
        <v>1</v>
      </c>
    </row>
    <row r="70" spans="1:13" x14ac:dyDescent="0.35">
      <c r="A70">
        <v>8222</v>
      </c>
      <c r="B70" t="s">
        <v>31</v>
      </c>
      <c r="C70" t="s">
        <v>19</v>
      </c>
      <c r="D70">
        <v>7909.46</v>
      </c>
      <c r="E70">
        <v>7.0000000000000007E-2</v>
      </c>
      <c r="F70">
        <v>0.06</v>
      </c>
      <c r="G70">
        <v>21</v>
      </c>
      <c r="H70">
        <v>35</v>
      </c>
      <c r="I70">
        <v>4</v>
      </c>
      <c r="J70">
        <v>6</v>
      </c>
      <c r="K70" t="s">
        <v>23</v>
      </c>
      <c r="L70" t="s">
        <v>24</v>
      </c>
      <c r="M70">
        <v>1</v>
      </c>
    </row>
    <row r="71" spans="1:13" x14ac:dyDescent="0.35">
      <c r="A71">
        <v>8223</v>
      </c>
      <c r="B71" t="s">
        <v>28</v>
      </c>
      <c r="C71" t="s">
        <v>30</v>
      </c>
      <c r="D71">
        <v>2035.03</v>
      </c>
      <c r="E71">
        <v>0.09</v>
      </c>
      <c r="F71">
        <v>0.08</v>
      </c>
      <c r="G71">
        <v>12</v>
      </c>
      <c r="H71">
        <v>35</v>
      </c>
      <c r="I71">
        <v>7</v>
      </c>
      <c r="J71">
        <v>2</v>
      </c>
      <c r="K71" t="s">
        <v>23</v>
      </c>
      <c r="L71" t="s">
        <v>24</v>
      </c>
      <c r="M71">
        <v>1</v>
      </c>
    </row>
    <row r="72" spans="1:13" x14ac:dyDescent="0.35">
      <c r="A72">
        <v>8224</v>
      </c>
      <c r="B72" t="s">
        <v>31</v>
      </c>
      <c r="C72" t="s">
        <v>32</v>
      </c>
      <c r="D72">
        <v>9339.0400000000009</v>
      </c>
      <c r="E72">
        <v>0.26</v>
      </c>
      <c r="F72">
        <v>0.02</v>
      </c>
      <c r="G72">
        <v>45</v>
      </c>
      <c r="H72">
        <v>74</v>
      </c>
      <c r="I72">
        <v>16</v>
      </c>
      <c r="J72">
        <v>2</v>
      </c>
      <c r="K72" t="s">
        <v>23</v>
      </c>
      <c r="L72" t="s">
        <v>24</v>
      </c>
      <c r="M72">
        <v>1</v>
      </c>
    </row>
    <row r="73" spans="1:13" x14ac:dyDescent="0.35">
      <c r="A73">
        <v>8227</v>
      </c>
      <c r="B73" t="s">
        <v>22</v>
      </c>
      <c r="C73" t="s">
        <v>32</v>
      </c>
      <c r="D73">
        <v>8207.8700000000008</v>
      </c>
      <c r="E73">
        <v>0.23</v>
      </c>
      <c r="F73">
        <v>0.03</v>
      </c>
      <c r="G73">
        <v>0</v>
      </c>
      <c r="H73">
        <v>93</v>
      </c>
      <c r="I73">
        <v>19</v>
      </c>
      <c r="J73">
        <v>0</v>
      </c>
      <c r="K73" t="s">
        <v>23</v>
      </c>
      <c r="L73" t="s">
        <v>24</v>
      </c>
      <c r="M73">
        <v>1</v>
      </c>
    </row>
    <row r="74" spans="1:13" x14ac:dyDescent="0.35">
      <c r="A74">
        <v>8228</v>
      </c>
      <c r="B74" t="s">
        <v>22</v>
      </c>
      <c r="C74" t="s">
        <v>19</v>
      </c>
      <c r="D74">
        <v>7435.05</v>
      </c>
      <c r="E74">
        <v>0.14000000000000001</v>
      </c>
      <c r="F74">
        <v>0.01</v>
      </c>
      <c r="G74">
        <v>46</v>
      </c>
      <c r="H74">
        <v>88</v>
      </c>
      <c r="I74">
        <v>10</v>
      </c>
      <c r="J74">
        <v>3</v>
      </c>
      <c r="K74" t="s">
        <v>23</v>
      </c>
      <c r="L74" t="s">
        <v>24</v>
      </c>
      <c r="M74">
        <v>1</v>
      </c>
    </row>
    <row r="75" spans="1:13" x14ac:dyDescent="0.35">
      <c r="A75">
        <v>8229</v>
      </c>
      <c r="B75" t="s">
        <v>29</v>
      </c>
      <c r="C75" t="s">
        <v>26</v>
      </c>
      <c r="D75">
        <v>9184.07</v>
      </c>
      <c r="E75">
        <v>0.22</v>
      </c>
      <c r="F75">
        <v>0.12</v>
      </c>
      <c r="G75">
        <v>42</v>
      </c>
      <c r="H75">
        <v>15</v>
      </c>
      <c r="I75">
        <v>12</v>
      </c>
      <c r="J75">
        <v>3</v>
      </c>
      <c r="K75" t="s">
        <v>23</v>
      </c>
      <c r="L75" t="s">
        <v>24</v>
      </c>
      <c r="M75">
        <v>1</v>
      </c>
    </row>
    <row r="76" spans="1:13" x14ac:dyDescent="0.35">
      <c r="A76">
        <v>8232</v>
      </c>
      <c r="B76" t="s">
        <v>31</v>
      </c>
      <c r="C76" t="s">
        <v>30</v>
      </c>
      <c r="D76">
        <v>1907.85</v>
      </c>
      <c r="E76">
        <v>0.12</v>
      </c>
      <c r="F76">
        <v>0.17</v>
      </c>
      <c r="G76">
        <v>3</v>
      </c>
      <c r="H76">
        <v>46</v>
      </c>
      <c r="I76">
        <v>2</v>
      </c>
      <c r="J76">
        <v>4</v>
      </c>
      <c r="K76" t="s">
        <v>23</v>
      </c>
      <c r="L76" t="s">
        <v>24</v>
      </c>
      <c r="M76">
        <v>1</v>
      </c>
    </row>
    <row r="77" spans="1:13" x14ac:dyDescent="0.35">
      <c r="A77">
        <v>8244</v>
      </c>
      <c r="B77" t="s">
        <v>22</v>
      </c>
      <c r="C77" t="s">
        <v>32</v>
      </c>
      <c r="D77">
        <v>7029.2</v>
      </c>
      <c r="E77">
        <v>0.28999999999999998</v>
      </c>
      <c r="F77">
        <v>0.03</v>
      </c>
      <c r="G77">
        <v>12</v>
      </c>
      <c r="H77">
        <v>76</v>
      </c>
      <c r="I77">
        <v>8</v>
      </c>
      <c r="J77">
        <v>8</v>
      </c>
      <c r="K77" t="s">
        <v>23</v>
      </c>
      <c r="L77" t="s">
        <v>24</v>
      </c>
      <c r="M77">
        <v>1</v>
      </c>
    </row>
    <row r="78" spans="1:13" x14ac:dyDescent="0.35">
      <c r="A78">
        <v>8246</v>
      </c>
      <c r="B78" t="s">
        <v>28</v>
      </c>
      <c r="C78" t="s">
        <v>30</v>
      </c>
      <c r="D78">
        <v>1025.78</v>
      </c>
      <c r="E78">
        <v>0.1</v>
      </c>
      <c r="F78">
        <v>0.18</v>
      </c>
      <c r="G78">
        <v>49</v>
      </c>
      <c r="H78">
        <v>80</v>
      </c>
      <c r="I78">
        <v>18</v>
      </c>
      <c r="J78">
        <v>8</v>
      </c>
      <c r="K78" t="s">
        <v>23</v>
      </c>
      <c r="L78" t="s">
        <v>24</v>
      </c>
      <c r="M78">
        <v>1</v>
      </c>
    </row>
    <row r="79" spans="1:13" x14ac:dyDescent="0.35">
      <c r="A79">
        <v>8251</v>
      </c>
      <c r="B79" t="s">
        <v>31</v>
      </c>
      <c r="C79" t="s">
        <v>19</v>
      </c>
      <c r="D79">
        <v>7180.96</v>
      </c>
      <c r="E79">
        <v>0.09</v>
      </c>
      <c r="F79">
        <v>0.05</v>
      </c>
      <c r="G79">
        <v>12</v>
      </c>
      <c r="H79">
        <v>68</v>
      </c>
      <c r="I79">
        <v>15</v>
      </c>
      <c r="J79">
        <v>0</v>
      </c>
      <c r="K79" t="s">
        <v>23</v>
      </c>
      <c r="L79" t="s">
        <v>24</v>
      </c>
      <c r="M79">
        <v>1</v>
      </c>
    </row>
    <row r="80" spans="1:13" x14ac:dyDescent="0.35">
      <c r="A80">
        <v>8254</v>
      </c>
      <c r="B80" t="s">
        <v>22</v>
      </c>
      <c r="C80" t="s">
        <v>19</v>
      </c>
      <c r="D80">
        <v>7503.79</v>
      </c>
      <c r="E80">
        <v>0.04</v>
      </c>
      <c r="F80">
        <v>0.01</v>
      </c>
      <c r="G80">
        <v>9</v>
      </c>
      <c r="H80">
        <v>96</v>
      </c>
      <c r="I80">
        <v>17</v>
      </c>
      <c r="J80">
        <v>4</v>
      </c>
      <c r="K80" t="s">
        <v>23</v>
      </c>
      <c r="L80" t="s">
        <v>24</v>
      </c>
      <c r="M80">
        <v>1</v>
      </c>
    </row>
    <row r="81" spans="1:13" x14ac:dyDescent="0.35">
      <c r="A81">
        <v>8255</v>
      </c>
      <c r="B81" t="s">
        <v>22</v>
      </c>
      <c r="C81" t="s">
        <v>26</v>
      </c>
      <c r="D81">
        <v>3087.65</v>
      </c>
      <c r="E81">
        <v>0.28000000000000003</v>
      </c>
      <c r="F81">
        <v>0.09</v>
      </c>
      <c r="G81">
        <v>46</v>
      </c>
      <c r="H81">
        <v>33</v>
      </c>
      <c r="I81">
        <v>18</v>
      </c>
      <c r="J81">
        <v>3</v>
      </c>
      <c r="K81" t="s">
        <v>23</v>
      </c>
      <c r="L81" t="s">
        <v>24</v>
      </c>
      <c r="M81">
        <v>1</v>
      </c>
    </row>
    <row r="82" spans="1:13" x14ac:dyDescent="0.35">
      <c r="A82">
        <v>8256</v>
      </c>
      <c r="B82" t="s">
        <v>29</v>
      </c>
      <c r="C82" t="s">
        <v>32</v>
      </c>
      <c r="D82">
        <v>2209.16</v>
      </c>
      <c r="E82">
        <v>0.26</v>
      </c>
      <c r="F82">
        <v>0.03</v>
      </c>
      <c r="G82">
        <v>11</v>
      </c>
      <c r="H82">
        <v>26</v>
      </c>
      <c r="I82">
        <v>15</v>
      </c>
      <c r="J82">
        <v>8</v>
      </c>
      <c r="K82" t="s">
        <v>23</v>
      </c>
      <c r="L82" t="s">
        <v>24</v>
      </c>
      <c r="M82">
        <v>1</v>
      </c>
    </row>
    <row r="83" spans="1:13" x14ac:dyDescent="0.35">
      <c r="A83">
        <v>8260</v>
      </c>
      <c r="B83" t="s">
        <v>28</v>
      </c>
      <c r="C83" t="s">
        <v>32</v>
      </c>
      <c r="D83">
        <v>2901.62</v>
      </c>
      <c r="E83">
        <v>0.01</v>
      </c>
      <c r="F83">
        <v>0.1</v>
      </c>
      <c r="G83">
        <v>18</v>
      </c>
      <c r="H83">
        <v>34</v>
      </c>
      <c r="I83">
        <v>18</v>
      </c>
      <c r="J83">
        <v>6</v>
      </c>
      <c r="K83" t="s">
        <v>23</v>
      </c>
      <c r="L83" t="s">
        <v>24</v>
      </c>
      <c r="M83">
        <v>1</v>
      </c>
    </row>
    <row r="84" spans="1:13" x14ac:dyDescent="0.35">
      <c r="A84">
        <v>8261</v>
      </c>
      <c r="B84" t="s">
        <v>22</v>
      </c>
      <c r="C84" t="s">
        <v>19</v>
      </c>
      <c r="D84">
        <v>6557.01</v>
      </c>
      <c r="E84">
        <v>0.18</v>
      </c>
      <c r="F84">
        <v>0.12</v>
      </c>
      <c r="G84">
        <v>18</v>
      </c>
      <c r="H84">
        <v>19</v>
      </c>
      <c r="I84">
        <v>18</v>
      </c>
      <c r="J84">
        <v>1</v>
      </c>
      <c r="K84" t="s">
        <v>23</v>
      </c>
      <c r="L84" t="s">
        <v>24</v>
      </c>
      <c r="M84">
        <v>1</v>
      </c>
    </row>
    <row r="85" spans="1:13" x14ac:dyDescent="0.35">
      <c r="A85">
        <v>8267</v>
      </c>
      <c r="B85" t="s">
        <v>29</v>
      </c>
      <c r="C85" t="s">
        <v>26</v>
      </c>
      <c r="D85">
        <v>4238.08</v>
      </c>
      <c r="E85">
        <v>0.01</v>
      </c>
      <c r="F85">
        <v>0.18</v>
      </c>
      <c r="G85">
        <v>35</v>
      </c>
      <c r="H85">
        <v>50</v>
      </c>
      <c r="I85">
        <v>12</v>
      </c>
      <c r="J85">
        <v>4</v>
      </c>
      <c r="K85" t="s">
        <v>23</v>
      </c>
      <c r="L85" t="s">
        <v>24</v>
      </c>
      <c r="M85">
        <v>1</v>
      </c>
    </row>
    <row r="86" spans="1:13" x14ac:dyDescent="0.35">
      <c r="A86">
        <v>8271</v>
      </c>
      <c r="B86" t="s">
        <v>22</v>
      </c>
      <c r="C86" t="s">
        <v>26</v>
      </c>
      <c r="D86">
        <v>1509.49</v>
      </c>
      <c r="E86">
        <v>0.15</v>
      </c>
      <c r="F86">
        <v>0.16</v>
      </c>
      <c r="G86">
        <v>22</v>
      </c>
      <c r="H86">
        <v>44</v>
      </c>
      <c r="I86">
        <v>9</v>
      </c>
      <c r="J86">
        <v>9</v>
      </c>
      <c r="K86" t="s">
        <v>23</v>
      </c>
      <c r="L86" t="s">
        <v>24</v>
      </c>
      <c r="M86">
        <v>1</v>
      </c>
    </row>
    <row r="87" spans="1:13" x14ac:dyDescent="0.35">
      <c r="A87">
        <v>8284</v>
      </c>
      <c r="B87" t="s">
        <v>25</v>
      </c>
      <c r="C87" t="s">
        <v>19</v>
      </c>
      <c r="D87">
        <v>3021.2</v>
      </c>
      <c r="E87">
        <v>0.19</v>
      </c>
      <c r="F87">
        <v>0.06</v>
      </c>
      <c r="G87">
        <v>6</v>
      </c>
      <c r="H87">
        <v>11</v>
      </c>
      <c r="I87">
        <v>4</v>
      </c>
      <c r="J87">
        <v>9</v>
      </c>
      <c r="K87" t="s">
        <v>23</v>
      </c>
      <c r="L87" t="s">
        <v>24</v>
      </c>
      <c r="M87">
        <v>1</v>
      </c>
    </row>
    <row r="88" spans="1:13" x14ac:dyDescent="0.35">
      <c r="A88">
        <v>8290</v>
      </c>
      <c r="B88" t="s">
        <v>29</v>
      </c>
      <c r="C88" t="s">
        <v>32</v>
      </c>
      <c r="D88">
        <v>7426.07</v>
      </c>
      <c r="E88">
        <v>0.1</v>
      </c>
      <c r="F88">
        <v>0.1</v>
      </c>
      <c r="G88">
        <v>31</v>
      </c>
      <c r="H88">
        <v>10</v>
      </c>
      <c r="I88">
        <v>11</v>
      </c>
      <c r="J88">
        <v>9</v>
      </c>
      <c r="K88" t="s">
        <v>23</v>
      </c>
      <c r="L88" t="s">
        <v>24</v>
      </c>
      <c r="M88">
        <v>1</v>
      </c>
    </row>
    <row r="89" spans="1:13" x14ac:dyDescent="0.35">
      <c r="A89">
        <v>8291</v>
      </c>
      <c r="B89" t="s">
        <v>29</v>
      </c>
      <c r="C89" t="s">
        <v>26</v>
      </c>
      <c r="D89">
        <v>5186.08</v>
      </c>
      <c r="E89">
        <v>0.13</v>
      </c>
      <c r="F89">
        <v>0.05</v>
      </c>
      <c r="G89">
        <v>14</v>
      </c>
      <c r="H89">
        <v>37</v>
      </c>
      <c r="I89">
        <v>14</v>
      </c>
      <c r="J89">
        <v>4</v>
      </c>
      <c r="K89" t="s">
        <v>23</v>
      </c>
      <c r="L89" t="s">
        <v>24</v>
      </c>
      <c r="M89">
        <v>1</v>
      </c>
    </row>
    <row r="90" spans="1:13" x14ac:dyDescent="0.35">
      <c r="A90">
        <v>8298</v>
      </c>
      <c r="B90" t="s">
        <v>28</v>
      </c>
      <c r="C90" t="s">
        <v>30</v>
      </c>
      <c r="D90">
        <v>2030.14</v>
      </c>
      <c r="E90">
        <v>0.16</v>
      </c>
      <c r="F90">
        <v>0.01</v>
      </c>
      <c r="G90">
        <v>3</v>
      </c>
      <c r="H90">
        <v>79</v>
      </c>
      <c r="I90">
        <v>13</v>
      </c>
      <c r="J90">
        <v>4</v>
      </c>
      <c r="K90" t="s">
        <v>23</v>
      </c>
      <c r="L90" t="s">
        <v>24</v>
      </c>
      <c r="M90">
        <v>1</v>
      </c>
    </row>
    <row r="91" spans="1:13" x14ac:dyDescent="0.35">
      <c r="A91">
        <v>8302</v>
      </c>
      <c r="B91" t="s">
        <v>29</v>
      </c>
      <c r="C91" t="s">
        <v>19</v>
      </c>
      <c r="D91">
        <v>7077.29</v>
      </c>
      <c r="E91">
        <v>0.11</v>
      </c>
      <c r="F91">
        <v>0.03</v>
      </c>
      <c r="G91">
        <v>37</v>
      </c>
      <c r="H91">
        <v>43</v>
      </c>
      <c r="I91">
        <v>17</v>
      </c>
      <c r="J91">
        <v>2</v>
      </c>
      <c r="K91" t="s">
        <v>23</v>
      </c>
      <c r="L91" t="s">
        <v>24</v>
      </c>
      <c r="M91">
        <v>1</v>
      </c>
    </row>
    <row r="92" spans="1:13" x14ac:dyDescent="0.35">
      <c r="A92">
        <v>8304</v>
      </c>
      <c r="B92" t="s">
        <v>29</v>
      </c>
      <c r="C92" t="s">
        <v>26</v>
      </c>
      <c r="D92">
        <v>1407.94</v>
      </c>
      <c r="E92">
        <v>0.17</v>
      </c>
      <c r="F92">
        <v>0.17</v>
      </c>
      <c r="G92">
        <v>46</v>
      </c>
      <c r="H92">
        <v>75</v>
      </c>
      <c r="I92">
        <v>8</v>
      </c>
      <c r="J92">
        <v>5</v>
      </c>
      <c r="K92" t="s">
        <v>23</v>
      </c>
      <c r="L92" t="s">
        <v>24</v>
      </c>
      <c r="M92">
        <v>1</v>
      </c>
    </row>
    <row r="93" spans="1:13" x14ac:dyDescent="0.35">
      <c r="A93">
        <v>8310</v>
      </c>
      <c r="B93" t="s">
        <v>31</v>
      </c>
      <c r="C93" t="s">
        <v>32</v>
      </c>
      <c r="D93">
        <v>2091.2399999999998</v>
      </c>
      <c r="E93">
        <v>0.2</v>
      </c>
      <c r="F93">
        <v>0.13</v>
      </c>
      <c r="G93">
        <v>27</v>
      </c>
      <c r="H93">
        <v>76</v>
      </c>
      <c r="I93">
        <v>12</v>
      </c>
      <c r="J93">
        <v>1</v>
      </c>
      <c r="K93" t="s">
        <v>23</v>
      </c>
      <c r="L93" t="s">
        <v>24</v>
      </c>
      <c r="M93">
        <v>1</v>
      </c>
    </row>
    <row r="94" spans="1:13" x14ac:dyDescent="0.35">
      <c r="A94">
        <v>8313</v>
      </c>
      <c r="B94" t="s">
        <v>25</v>
      </c>
      <c r="C94" t="s">
        <v>26</v>
      </c>
      <c r="D94">
        <v>7187.08</v>
      </c>
      <c r="E94">
        <v>0.23</v>
      </c>
      <c r="F94">
        <v>0.05</v>
      </c>
      <c r="G94">
        <v>46</v>
      </c>
      <c r="H94">
        <v>10</v>
      </c>
      <c r="I94">
        <v>1</v>
      </c>
      <c r="J94">
        <v>9</v>
      </c>
      <c r="K94" t="s">
        <v>23</v>
      </c>
      <c r="L94" t="s">
        <v>24</v>
      </c>
      <c r="M94">
        <v>1</v>
      </c>
    </row>
    <row r="95" spans="1:13" x14ac:dyDescent="0.35">
      <c r="A95">
        <v>8316</v>
      </c>
      <c r="B95" t="s">
        <v>31</v>
      </c>
      <c r="C95" t="s">
        <v>30</v>
      </c>
      <c r="D95">
        <v>678.08</v>
      </c>
      <c r="E95">
        <v>0.1</v>
      </c>
      <c r="F95">
        <v>0.19</v>
      </c>
      <c r="G95">
        <v>18</v>
      </c>
      <c r="H95">
        <v>98</v>
      </c>
      <c r="I95">
        <v>6</v>
      </c>
      <c r="J95">
        <v>2</v>
      </c>
      <c r="K95" t="s">
        <v>23</v>
      </c>
      <c r="L95" t="s">
        <v>24</v>
      </c>
      <c r="M95">
        <v>0</v>
      </c>
    </row>
    <row r="96" spans="1:13" x14ac:dyDescent="0.35">
      <c r="A96">
        <v>8317</v>
      </c>
      <c r="B96" t="s">
        <v>29</v>
      </c>
      <c r="C96" t="s">
        <v>19</v>
      </c>
      <c r="D96">
        <v>1758.08</v>
      </c>
      <c r="E96">
        <v>0.11</v>
      </c>
      <c r="F96">
        <v>0.2</v>
      </c>
      <c r="G96">
        <v>43</v>
      </c>
      <c r="H96">
        <v>38</v>
      </c>
      <c r="I96">
        <v>8</v>
      </c>
      <c r="J96">
        <v>4</v>
      </c>
      <c r="K96" t="s">
        <v>23</v>
      </c>
      <c r="L96" t="s">
        <v>24</v>
      </c>
      <c r="M96">
        <v>1</v>
      </c>
    </row>
    <row r="97" spans="1:13" x14ac:dyDescent="0.35">
      <c r="A97">
        <v>8318</v>
      </c>
      <c r="B97" t="s">
        <v>31</v>
      </c>
      <c r="C97" t="s">
        <v>30</v>
      </c>
      <c r="D97">
        <v>4202.63</v>
      </c>
      <c r="E97">
        <v>0.06</v>
      </c>
      <c r="F97">
        <v>0.16</v>
      </c>
      <c r="G97">
        <v>34</v>
      </c>
      <c r="H97">
        <v>62</v>
      </c>
      <c r="I97">
        <v>6</v>
      </c>
      <c r="J97">
        <v>6</v>
      </c>
      <c r="K97" t="s">
        <v>23</v>
      </c>
      <c r="L97" t="s">
        <v>24</v>
      </c>
      <c r="M97">
        <v>1</v>
      </c>
    </row>
    <row r="98" spans="1:13" x14ac:dyDescent="0.35">
      <c r="A98">
        <v>8322</v>
      </c>
      <c r="B98" t="s">
        <v>22</v>
      </c>
      <c r="C98" t="s">
        <v>19</v>
      </c>
      <c r="D98">
        <v>1580.08</v>
      </c>
      <c r="E98">
        <v>0.17</v>
      </c>
      <c r="F98">
        <v>0.2</v>
      </c>
      <c r="G98">
        <v>2</v>
      </c>
      <c r="H98">
        <v>50</v>
      </c>
      <c r="I98">
        <v>0</v>
      </c>
      <c r="J98">
        <v>8</v>
      </c>
      <c r="K98" t="s">
        <v>23</v>
      </c>
      <c r="L98" t="s">
        <v>24</v>
      </c>
      <c r="M98">
        <v>1</v>
      </c>
    </row>
    <row r="99" spans="1:13" x14ac:dyDescent="0.35">
      <c r="A99">
        <v>8323</v>
      </c>
      <c r="B99" t="s">
        <v>31</v>
      </c>
      <c r="C99" t="s">
        <v>30</v>
      </c>
      <c r="D99">
        <v>5141.01</v>
      </c>
      <c r="E99">
        <v>0.11</v>
      </c>
      <c r="F99">
        <v>7.0000000000000007E-2</v>
      </c>
      <c r="G99">
        <v>38</v>
      </c>
      <c r="H99">
        <v>52</v>
      </c>
      <c r="I99">
        <v>19</v>
      </c>
      <c r="J99">
        <v>0</v>
      </c>
      <c r="K99" t="s">
        <v>23</v>
      </c>
      <c r="L99" t="s">
        <v>24</v>
      </c>
      <c r="M99">
        <v>1</v>
      </c>
    </row>
    <row r="100" spans="1:13" x14ac:dyDescent="0.35">
      <c r="A100">
        <v>8325</v>
      </c>
      <c r="B100" t="s">
        <v>31</v>
      </c>
      <c r="C100" t="s">
        <v>19</v>
      </c>
      <c r="D100">
        <v>3980.5</v>
      </c>
      <c r="E100">
        <v>0.22</v>
      </c>
      <c r="F100">
        <v>0.19</v>
      </c>
      <c r="G100">
        <v>16</v>
      </c>
      <c r="H100">
        <v>64</v>
      </c>
      <c r="I100">
        <v>1</v>
      </c>
      <c r="J100">
        <v>0</v>
      </c>
      <c r="K100" t="s">
        <v>23</v>
      </c>
      <c r="L100" t="s">
        <v>24</v>
      </c>
      <c r="M100">
        <v>1</v>
      </c>
    </row>
    <row r="101" spans="1:13" x14ac:dyDescent="0.35">
      <c r="A101">
        <v>8327</v>
      </c>
      <c r="B101" t="s">
        <v>29</v>
      </c>
      <c r="C101" t="s">
        <v>19</v>
      </c>
      <c r="D101">
        <v>7091.06</v>
      </c>
      <c r="E101">
        <v>0.15</v>
      </c>
      <c r="F101">
        <v>0.12</v>
      </c>
      <c r="G101">
        <v>41</v>
      </c>
      <c r="H101">
        <v>11</v>
      </c>
      <c r="I101">
        <v>9</v>
      </c>
      <c r="J101">
        <v>6</v>
      </c>
      <c r="K101" t="s">
        <v>23</v>
      </c>
      <c r="L101" t="s">
        <v>24</v>
      </c>
      <c r="M101">
        <v>1</v>
      </c>
    </row>
    <row r="102" spans="1:13" x14ac:dyDescent="0.35">
      <c r="A102">
        <v>8330</v>
      </c>
      <c r="B102" t="s">
        <v>29</v>
      </c>
      <c r="C102" t="s">
        <v>26</v>
      </c>
      <c r="D102">
        <v>3310.15</v>
      </c>
      <c r="E102">
        <v>0.11</v>
      </c>
      <c r="F102">
        <v>0.1</v>
      </c>
      <c r="G102">
        <v>19</v>
      </c>
      <c r="H102">
        <v>71</v>
      </c>
      <c r="I102">
        <v>7</v>
      </c>
      <c r="J102">
        <v>7</v>
      </c>
      <c r="K102" t="s">
        <v>23</v>
      </c>
      <c r="L102" t="s">
        <v>24</v>
      </c>
      <c r="M102">
        <v>1</v>
      </c>
    </row>
    <row r="103" spans="1:13" x14ac:dyDescent="0.35">
      <c r="A103">
        <v>8332</v>
      </c>
      <c r="B103" t="s">
        <v>22</v>
      </c>
      <c r="C103" t="s">
        <v>32</v>
      </c>
      <c r="D103">
        <v>8206.31</v>
      </c>
      <c r="E103">
        <v>0.13</v>
      </c>
      <c r="F103">
        <v>0.18</v>
      </c>
      <c r="G103">
        <v>34</v>
      </c>
      <c r="H103">
        <v>94</v>
      </c>
      <c r="I103">
        <v>5</v>
      </c>
      <c r="J103">
        <v>0</v>
      </c>
      <c r="K103" t="s">
        <v>23</v>
      </c>
      <c r="L103" t="s">
        <v>24</v>
      </c>
      <c r="M103">
        <v>1</v>
      </c>
    </row>
    <row r="104" spans="1:13" x14ac:dyDescent="0.35">
      <c r="A104">
        <v>8336</v>
      </c>
      <c r="B104" t="s">
        <v>29</v>
      </c>
      <c r="C104" t="s">
        <v>32</v>
      </c>
      <c r="D104">
        <v>1330.65</v>
      </c>
      <c r="E104">
        <v>0.01</v>
      </c>
      <c r="F104">
        <v>0.1</v>
      </c>
      <c r="G104">
        <v>40</v>
      </c>
      <c r="H104">
        <v>84</v>
      </c>
      <c r="I104">
        <v>16</v>
      </c>
      <c r="J104">
        <v>1</v>
      </c>
      <c r="K104" t="s">
        <v>23</v>
      </c>
      <c r="L104" t="s">
        <v>24</v>
      </c>
      <c r="M104">
        <v>1</v>
      </c>
    </row>
    <row r="105" spans="1:13" x14ac:dyDescent="0.35">
      <c r="A105">
        <v>8339</v>
      </c>
      <c r="B105" t="s">
        <v>28</v>
      </c>
      <c r="C105" t="s">
        <v>30</v>
      </c>
      <c r="D105">
        <v>367.05</v>
      </c>
      <c r="E105">
        <v>0.23</v>
      </c>
      <c r="F105">
        <v>0.19</v>
      </c>
      <c r="G105">
        <v>19</v>
      </c>
      <c r="H105">
        <v>62</v>
      </c>
      <c r="I105">
        <v>1</v>
      </c>
      <c r="J105">
        <v>1</v>
      </c>
      <c r="K105" t="s">
        <v>23</v>
      </c>
      <c r="L105" t="s">
        <v>24</v>
      </c>
      <c r="M105">
        <v>1</v>
      </c>
    </row>
    <row r="106" spans="1:13" x14ac:dyDescent="0.35">
      <c r="A106">
        <v>8343</v>
      </c>
      <c r="B106" t="s">
        <v>28</v>
      </c>
      <c r="C106" t="s">
        <v>30</v>
      </c>
      <c r="D106">
        <v>8208.7800000000007</v>
      </c>
      <c r="E106">
        <v>0.17</v>
      </c>
      <c r="F106">
        <v>0.05</v>
      </c>
      <c r="G106">
        <v>26</v>
      </c>
      <c r="H106">
        <v>42</v>
      </c>
      <c r="I106">
        <v>10</v>
      </c>
      <c r="J106">
        <v>5</v>
      </c>
      <c r="K106" t="s">
        <v>23</v>
      </c>
      <c r="L106" t="s">
        <v>24</v>
      </c>
      <c r="M106">
        <v>1</v>
      </c>
    </row>
    <row r="107" spans="1:13" x14ac:dyDescent="0.35">
      <c r="A107">
        <v>8344</v>
      </c>
      <c r="B107" t="s">
        <v>22</v>
      </c>
      <c r="C107" t="s">
        <v>19</v>
      </c>
      <c r="D107">
        <v>1796.03</v>
      </c>
      <c r="E107">
        <v>0.08</v>
      </c>
      <c r="F107">
        <v>0.15</v>
      </c>
      <c r="G107">
        <v>5</v>
      </c>
      <c r="H107">
        <v>75</v>
      </c>
      <c r="I107">
        <v>13</v>
      </c>
      <c r="J107">
        <v>2</v>
      </c>
      <c r="K107" t="s">
        <v>23</v>
      </c>
      <c r="L107" t="s">
        <v>24</v>
      </c>
      <c r="M107">
        <v>0</v>
      </c>
    </row>
    <row r="108" spans="1:13" x14ac:dyDescent="0.35">
      <c r="A108">
        <v>8346</v>
      </c>
      <c r="B108" t="s">
        <v>22</v>
      </c>
      <c r="C108" t="s">
        <v>26</v>
      </c>
      <c r="D108">
        <v>4907.1000000000004</v>
      </c>
      <c r="E108">
        <v>0.13</v>
      </c>
      <c r="F108">
        <v>0.05</v>
      </c>
      <c r="G108">
        <v>35</v>
      </c>
      <c r="H108">
        <v>44</v>
      </c>
      <c r="I108">
        <v>9</v>
      </c>
      <c r="J108">
        <v>0</v>
      </c>
      <c r="K108" t="s">
        <v>23</v>
      </c>
      <c r="L108" t="s">
        <v>24</v>
      </c>
      <c r="M108">
        <v>1</v>
      </c>
    </row>
    <row r="109" spans="1:13" x14ac:dyDescent="0.35">
      <c r="A109">
        <v>8348</v>
      </c>
      <c r="B109" t="s">
        <v>22</v>
      </c>
      <c r="C109" t="s">
        <v>30</v>
      </c>
      <c r="D109">
        <v>7017.53</v>
      </c>
      <c r="E109">
        <v>0.09</v>
      </c>
      <c r="F109">
        <v>0.08</v>
      </c>
      <c r="G109">
        <v>19</v>
      </c>
      <c r="H109">
        <v>53</v>
      </c>
      <c r="I109">
        <v>10</v>
      </c>
      <c r="J109">
        <v>3</v>
      </c>
      <c r="K109" t="s">
        <v>23</v>
      </c>
      <c r="L109" t="s">
        <v>24</v>
      </c>
      <c r="M109">
        <v>1</v>
      </c>
    </row>
    <row r="110" spans="1:13" x14ac:dyDescent="0.35">
      <c r="A110">
        <v>8350</v>
      </c>
      <c r="B110" t="s">
        <v>31</v>
      </c>
      <c r="C110" t="s">
        <v>26</v>
      </c>
      <c r="D110">
        <v>400.7</v>
      </c>
      <c r="E110">
        <v>0.08</v>
      </c>
      <c r="F110">
        <v>0.2</v>
      </c>
      <c r="G110">
        <v>40</v>
      </c>
      <c r="H110">
        <v>6</v>
      </c>
      <c r="I110">
        <v>15</v>
      </c>
      <c r="J110">
        <v>9</v>
      </c>
      <c r="K110" t="s">
        <v>23</v>
      </c>
      <c r="L110" t="s">
        <v>24</v>
      </c>
      <c r="M110">
        <v>1</v>
      </c>
    </row>
    <row r="111" spans="1:13" x14ac:dyDescent="0.35">
      <c r="A111">
        <v>8351</v>
      </c>
      <c r="B111" t="s">
        <v>31</v>
      </c>
      <c r="C111" t="s">
        <v>32</v>
      </c>
      <c r="D111">
        <v>6501.22</v>
      </c>
      <c r="E111">
        <v>0.05</v>
      </c>
      <c r="F111">
        <v>0.14000000000000001</v>
      </c>
      <c r="G111">
        <v>39</v>
      </c>
      <c r="H111">
        <v>35</v>
      </c>
      <c r="I111">
        <v>7</v>
      </c>
      <c r="J111">
        <v>0</v>
      </c>
      <c r="K111" t="s">
        <v>23</v>
      </c>
      <c r="L111" t="s">
        <v>24</v>
      </c>
      <c r="M111">
        <v>1</v>
      </c>
    </row>
    <row r="112" spans="1:13" x14ac:dyDescent="0.35">
      <c r="A112">
        <v>8355</v>
      </c>
      <c r="B112" t="s">
        <v>22</v>
      </c>
      <c r="C112" t="s">
        <v>32</v>
      </c>
      <c r="D112">
        <v>5900.4</v>
      </c>
      <c r="E112">
        <v>0.05</v>
      </c>
      <c r="F112">
        <v>0.15</v>
      </c>
      <c r="G112">
        <v>9</v>
      </c>
      <c r="H112">
        <v>11</v>
      </c>
      <c r="I112">
        <v>16</v>
      </c>
      <c r="J112">
        <v>3</v>
      </c>
      <c r="K112" t="s">
        <v>23</v>
      </c>
      <c r="L112" t="s">
        <v>24</v>
      </c>
      <c r="M112">
        <v>1</v>
      </c>
    </row>
    <row r="113" spans="1:13" x14ac:dyDescent="0.35">
      <c r="A113">
        <v>8359</v>
      </c>
      <c r="B113" t="s">
        <v>22</v>
      </c>
      <c r="C113" t="s">
        <v>19</v>
      </c>
      <c r="D113">
        <v>1118.0899999999999</v>
      </c>
      <c r="E113">
        <v>0.28999999999999998</v>
      </c>
      <c r="F113">
        <v>0.05</v>
      </c>
      <c r="G113">
        <v>34</v>
      </c>
      <c r="H113">
        <v>55</v>
      </c>
      <c r="I113">
        <v>0</v>
      </c>
      <c r="J113">
        <v>8</v>
      </c>
      <c r="K113" t="s">
        <v>23</v>
      </c>
      <c r="L113" t="s">
        <v>24</v>
      </c>
      <c r="M113">
        <v>1</v>
      </c>
    </row>
    <row r="114" spans="1:13" x14ac:dyDescent="0.35">
      <c r="A114">
        <v>8363</v>
      </c>
      <c r="B114" t="s">
        <v>28</v>
      </c>
      <c r="C114" t="s">
        <v>19</v>
      </c>
      <c r="D114">
        <v>4097.03</v>
      </c>
      <c r="E114">
        <v>0.1</v>
      </c>
      <c r="F114">
        <v>0.13</v>
      </c>
      <c r="G114">
        <v>37</v>
      </c>
      <c r="H114">
        <v>56</v>
      </c>
      <c r="I114">
        <v>15</v>
      </c>
      <c r="J114">
        <v>9</v>
      </c>
      <c r="K114" t="s">
        <v>23</v>
      </c>
      <c r="L114" t="s">
        <v>24</v>
      </c>
      <c r="M114">
        <v>1</v>
      </c>
    </row>
    <row r="115" spans="1:13" x14ac:dyDescent="0.35">
      <c r="A115">
        <v>8366</v>
      </c>
      <c r="B115" t="s">
        <v>28</v>
      </c>
      <c r="C115" t="s">
        <v>26</v>
      </c>
      <c r="D115">
        <v>776.03</v>
      </c>
      <c r="E115">
        <v>0.23</v>
      </c>
      <c r="F115">
        <v>0.19</v>
      </c>
      <c r="G115">
        <v>36</v>
      </c>
      <c r="H115">
        <v>69</v>
      </c>
      <c r="I115">
        <v>6</v>
      </c>
      <c r="J115">
        <v>2</v>
      </c>
      <c r="K115" t="s">
        <v>23</v>
      </c>
      <c r="L115" t="s">
        <v>24</v>
      </c>
      <c r="M115">
        <v>1</v>
      </c>
    </row>
    <row r="116" spans="1:13" x14ac:dyDescent="0.35">
      <c r="A116">
        <v>8371</v>
      </c>
      <c r="B116" t="s">
        <v>31</v>
      </c>
      <c r="C116" t="s">
        <v>19</v>
      </c>
      <c r="D116">
        <v>2028.75</v>
      </c>
      <c r="E116">
        <v>0.11</v>
      </c>
      <c r="F116">
        <v>0.15</v>
      </c>
      <c r="G116">
        <v>2</v>
      </c>
      <c r="H116">
        <v>11</v>
      </c>
      <c r="I116">
        <v>16</v>
      </c>
      <c r="J116">
        <v>8</v>
      </c>
      <c r="K116" t="s">
        <v>23</v>
      </c>
      <c r="L116" t="s">
        <v>24</v>
      </c>
      <c r="M116">
        <v>1</v>
      </c>
    </row>
    <row r="117" spans="1:13" x14ac:dyDescent="0.35">
      <c r="A117">
        <v>8378</v>
      </c>
      <c r="B117" t="s">
        <v>25</v>
      </c>
      <c r="C117" t="s">
        <v>32</v>
      </c>
      <c r="D117">
        <v>5510.91</v>
      </c>
      <c r="E117">
        <v>0.14000000000000001</v>
      </c>
      <c r="F117">
        <v>0.02</v>
      </c>
      <c r="G117">
        <v>15</v>
      </c>
      <c r="H117">
        <v>86</v>
      </c>
      <c r="I117">
        <v>5</v>
      </c>
      <c r="J117">
        <v>4</v>
      </c>
      <c r="K117" t="s">
        <v>23</v>
      </c>
      <c r="L117" t="s">
        <v>24</v>
      </c>
      <c r="M117">
        <v>1</v>
      </c>
    </row>
    <row r="118" spans="1:13" x14ac:dyDescent="0.35">
      <c r="A118">
        <v>8381</v>
      </c>
      <c r="B118" t="s">
        <v>31</v>
      </c>
      <c r="C118" t="s">
        <v>30</v>
      </c>
      <c r="D118">
        <v>9081.1299999999992</v>
      </c>
      <c r="E118">
        <v>0.17</v>
      </c>
      <c r="F118">
        <v>7.0000000000000007E-2</v>
      </c>
      <c r="G118">
        <v>13</v>
      </c>
      <c r="H118">
        <v>3</v>
      </c>
      <c r="I118">
        <v>9</v>
      </c>
      <c r="J118">
        <v>6</v>
      </c>
      <c r="K118" t="s">
        <v>23</v>
      </c>
      <c r="L118" t="s">
        <v>24</v>
      </c>
      <c r="M118">
        <v>1</v>
      </c>
    </row>
    <row r="119" spans="1:13" x14ac:dyDescent="0.35">
      <c r="A119">
        <v>8387</v>
      </c>
      <c r="B119" t="s">
        <v>29</v>
      </c>
      <c r="C119" t="s">
        <v>32</v>
      </c>
      <c r="D119">
        <v>1538.09</v>
      </c>
      <c r="E119">
        <v>0.09</v>
      </c>
      <c r="F119">
        <v>0.06</v>
      </c>
      <c r="G119">
        <v>48</v>
      </c>
      <c r="H119">
        <v>39</v>
      </c>
      <c r="I119">
        <v>13</v>
      </c>
      <c r="J119">
        <v>4</v>
      </c>
      <c r="K119" t="s">
        <v>23</v>
      </c>
      <c r="L119" t="s">
        <v>24</v>
      </c>
      <c r="M119">
        <v>1</v>
      </c>
    </row>
    <row r="120" spans="1:13" x14ac:dyDescent="0.35">
      <c r="A120">
        <v>8395</v>
      </c>
      <c r="B120" t="s">
        <v>25</v>
      </c>
      <c r="C120" t="s">
        <v>26</v>
      </c>
      <c r="D120">
        <v>2074.81</v>
      </c>
      <c r="E120">
        <v>0.11</v>
      </c>
      <c r="F120">
        <v>0.1</v>
      </c>
      <c r="G120">
        <v>42</v>
      </c>
      <c r="H120">
        <v>17</v>
      </c>
      <c r="I120">
        <v>2</v>
      </c>
      <c r="J120">
        <v>7</v>
      </c>
      <c r="K120" t="s">
        <v>23</v>
      </c>
      <c r="L120" t="s">
        <v>24</v>
      </c>
      <c r="M120">
        <v>1</v>
      </c>
    </row>
    <row r="121" spans="1:13" x14ac:dyDescent="0.35">
      <c r="A121">
        <v>8396</v>
      </c>
      <c r="B121" t="s">
        <v>31</v>
      </c>
      <c r="C121" t="s">
        <v>26</v>
      </c>
      <c r="D121">
        <v>210.26</v>
      </c>
      <c r="E121">
        <v>0.17</v>
      </c>
      <c r="F121">
        <v>0.02</v>
      </c>
      <c r="G121">
        <v>33</v>
      </c>
      <c r="H121">
        <v>80</v>
      </c>
      <c r="I121">
        <v>12</v>
      </c>
      <c r="J121">
        <v>1</v>
      </c>
      <c r="K121" t="s">
        <v>23</v>
      </c>
      <c r="L121" t="s">
        <v>24</v>
      </c>
      <c r="M121">
        <v>1</v>
      </c>
    </row>
    <row r="122" spans="1:13" x14ac:dyDescent="0.35">
      <c r="A122">
        <v>8398</v>
      </c>
      <c r="B122" t="s">
        <v>28</v>
      </c>
      <c r="C122" t="s">
        <v>26</v>
      </c>
      <c r="D122">
        <v>401.94</v>
      </c>
      <c r="E122">
        <v>0.22</v>
      </c>
      <c r="F122">
        <v>0.08</v>
      </c>
      <c r="G122">
        <v>27</v>
      </c>
      <c r="H122">
        <v>66</v>
      </c>
      <c r="I122">
        <v>16</v>
      </c>
      <c r="J122">
        <v>8</v>
      </c>
      <c r="K122" t="s">
        <v>23</v>
      </c>
      <c r="L122" t="s">
        <v>24</v>
      </c>
      <c r="M122">
        <v>1</v>
      </c>
    </row>
    <row r="123" spans="1:13" x14ac:dyDescent="0.35">
      <c r="A123">
        <v>8403</v>
      </c>
      <c r="B123" t="s">
        <v>22</v>
      </c>
      <c r="C123" t="s">
        <v>32</v>
      </c>
      <c r="D123">
        <v>3520.52</v>
      </c>
      <c r="E123">
        <v>0.11</v>
      </c>
      <c r="F123">
        <v>0.06</v>
      </c>
      <c r="G123">
        <v>33</v>
      </c>
      <c r="H123">
        <v>46</v>
      </c>
      <c r="I123">
        <v>14</v>
      </c>
      <c r="J123">
        <v>4</v>
      </c>
      <c r="K123" t="s">
        <v>23</v>
      </c>
      <c r="L123" t="s">
        <v>24</v>
      </c>
      <c r="M123">
        <v>1</v>
      </c>
    </row>
    <row r="124" spans="1:13" x14ac:dyDescent="0.35">
      <c r="A124">
        <v>8408</v>
      </c>
      <c r="B124" t="s">
        <v>29</v>
      </c>
      <c r="C124" t="s">
        <v>30</v>
      </c>
      <c r="D124">
        <v>3279.05</v>
      </c>
      <c r="E124">
        <v>0.1</v>
      </c>
      <c r="F124">
        <v>0.04</v>
      </c>
      <c r="G124">
        <v>21</v>
      </c>
      <c r="H124">
        <v>11</v>
      </c>
      <c r="I124">
        <v>13</v>
      </c>
      <c r="J124">
        <v>7</v>
      </c>
      <c r="K124" t="s">
        <v>23</v>
      </c>
      <c r="L124" t="s">
        <v>24</v>
      </c>
      <c r="M124">
        <v>1</v>
      </c>
    </row>
    <row r="125" spans="1:13" x14ac:dyDescent="0.35">
      <c r="A125">
        <v>8411</v>
      </c>
      <c r="B125" t="s">
        <v>28</v>
      </c>
      <c r="C125" t="s">
        <v>30</v>
      </c>
      <c r="D125">
        <v>6270.23</v>
      </c>
      <c r="E125">
        <v>0.22</v>
      </c>
      <c r="F125">
        <v>0.17</v>
      </c>
      <c r="G125">
        <v>35</v>
      </c>
      <c r="H125">
        <v>55</v>
      </c>
      <c r="I125">
        <v>3</v>
      </c>
      <c r="J125">
        <v>0</v>
      </c>
      <c r="K125" t="s">
        <v>23</v>
      </c>
      <c r="L125" t="s">
        <v>24</v>
      </c>
      <c r="M125">
        <v>1</v>
      </c>
    </row>
    <row r="126" spans="1:13" x14ac:dyDescent="0.35">
      <c r="A126">
        <v>8413</v>
      </c>
      <c r="B126" t="s">
        <v>29</v>
      </c>
      <c r="C126" t="s">
        <v>19</v>
      </c>
      <c r="D126">
        <v>4404.55</v>
      </c>
      <c r="E126">
        <v>0.08</v>
      </c>
      <c r="F126">
        <v>0.11</v>
      </c>
      <c r="G126">
        <v>36</v>
      </c>
      <c r="H126">
        <v>50</v>
      </c>
      <c r="I126">
        <v>8</v>
      </c>
      <c r="J126">
        <v>0</v>
      </c>
      <c r="K126" t="s">
        <v>23</v>
      </c>
      <c r="L126" t="s">
        <v>24</v>
      </c>
      <c r="M126">
        <v>1</v>
      </c>
    </row>
    <row r="127" spans="1:13" x14ac:dyDescent="0.35">
      <c r="A127">
        <v>8415</v>
      </c>
      <c r="B127" t="s">
        <v>28</v>
      </c>
      <c r="C127" t="s">
        <v>26</v>
      </c>
      <c r="D127">
        <v>5088.59</v>
      </c>
      <c r="E127">
        <v>0.28000000000000003</v>
      </c>
      <c r="F127">
        <v>7.0000000000000007E-2</v>
      </c>
      <c r="G127">
        <v>3</v>
      </c>
      <c r="H127">
        <v>72</v>
      </c>
      <c r="I127">
        <v>0</v>
      </c>
      <c r="J127">
        <v>6</v>
      </c>
      <c r="K127" t="s">
        <v>23</v>
      </c>
      <c r="L127" t="s">
        <v>24</v>
      </c>
      <c r="M127">
        <v>1</v>
      </c>
    </row>
    <row r="128" spans="1:13" x14ac:dyDescent="0.35">
      <c r="A128">
        <v>8416</v>
      </c>
      <c r="B128" t="s">
        <v>31</v>
      </c>
      <c r="C128" t="s">
        <v>19</v>
      </c>
      <c r="D128">
        <v>3906.49</v>
      </c>
      <c r="E128">
        <v>0.09</v>
      </c>
      <c r="F128">
        <v>0.13</v>
      </c>
      <c r="G128">
        <v>3</v>
      </c>
      <c r="H128">
        <v>65</v>
      </c>
      <c r="I128">
        <v>11</v>
      </c>
      <c r="J128">
        <v>1</v>
      </c>
      <c r="K128" t="s">
        <v>23</v>
      </c>
      <c r="L128" t="s">
        <v>24</v>
      </c>
      <c r="M128">
        <v>1</v>
      </c>
    </row>
    <row r="129" spans="1:13" x14ac:dyDescent="0.35">
      <c r="A129">
        <v>8419</v>
      </c>
      <c r="B129" t="s">
        <v>28</v>
      </c>
      <c r="C129" t="s">
        <v>19</v>
      </c>
      <c r="D129">
        <v>5804.86</v>
      </c>
      <c r="E129">
        <v>0.23</v>
      </c>
      <c r="F129">
        <v>0.14000000000000001</v>
      </c>
      <c r="G129">
        <v>42</v>
      </c>
      <c r="H129">
        <v>7</v>
      </c>
      <c r="I129">
        <v>2</v>
      </c>
      <c r="J129">
        <v>6</v>
      </c>
      <c r="K129" t="s">
        <v>23</v>
      </c>
      <c r="L129" t="s">
        <v>24</v>
      </c>
      <c r="M129">
        <v>1</v>
      </c>
    </row>
    <row r="130" spans="1:13" x14ac:dyDescent="0.35">
      <c r="A130">
        <v>8420</v>
      </c>
      <c r="B130" t="s">
        <v>22</v>
      </c>
      <c r="C130" t="s">
        <v>32</v>
      </c>
      <c r="D130">
        <v>1015.35</v>
      </c>
      <c r="E130">
        <v>0.05</v>
      </c>
      <c r="F130">
        <v>0.06</v>
      </c>
      <c r="G130">
        <v>49</v>
      </c>
      <c r="H130">
        <v>37</v>
      </c>
      <c r="I130">
        <v>10</v>
      </c>
      <c r="J130">
        <v>2</v>
      </c>
      <c r="K130" t="s">
        <v>23</v>
      </c>
      <c r="L130" t="s">
        <v>24</v>
      </c>
      <c r="M130">
        <v>1</v>
      </c>
    </row>
    <row r="131" spans="1:13" x14ac:dyDescent="0.35">
      <c r="A131">
        <v>8421</v>
      </c>
      <c r="B131" t="s">
        <v>22</v>
      </c>
      <c r="C131" t="s">
        <v>26</v>
      </c>
      <c r="D131">
        <v>6524.09</v>
      </c>
      <c r="E131">
        <v>0.21</v>
      </c>
      <c r="F131">
        <v>0.13</v>
      </c>
      <c r="G131">
        <v>25</v>
      </c>
      <c r="H131">
        <v>5</v>
      </c>
      <c r="I131">
        <v>9</v>
      </c>
      <c r="J131">
        <v>4</v>
      </c>
      <c r="K131" t="s">
        <v>23</v>
      </c>
      <c r="L131" t="s">
        <v>24</v>
      </c>
      <c r="M131">
        <v>1</v>
      </c>
    </row>
    <row r="132" spans="1:13" x14ac:dyDescent="0.35">
      <c r="A132">
        <v>8422</v>
      </c>
      <c r="B132" t="s">
        <v>28</v>
      </c>
      <c r="C132" t="s">
        <v>26</v>
      </c>
      <c r="D132">
        <v>4308.2</v>
      </c>
      <c r="E132">
        <v>0.16</v>
      </c>
      <c r="F132">
        <v>0.19</v>
      </c>
      <c r="G132">
        <v>32</v>
      </c>
      <c r="H132">
        <v>58</v>
      </c>
      <c r="I132">
        <v>18</v>
      </c>
      <c r="J132">
        <v>0</v>
      </c>
      <c r="K132" t="s">
        <v>23</v>
      </c>
      <c r="L132" t="s">
        <v>24</v>
      </c>
      <c r="M132">
        <v>1</v>
      </c>
    </row>
    <row r="133" spans="1:13" x14ac:dyDescent="0.35">
      <c r="A133">
        <v>8425</v>
      </c>
      <c r="B133" t="s">
        <v>31</v>
      </c>
      <c r="C133" t="s">
        <v>19</v>
      </c>
      <c r="D133">
        <v>6044.61</v>
      </c>
      <c r="E133">
        <v>0.09</v>
      </c>
      <c r="F133">
        <v>0.15</v>
      </c>
      <c r="G133">
        <v>8</v>
      </c>
      <c r="H133">
        <v>55</v>
      </c>
      <c r="I133">
        <v>7</v>
      </c>
      <c r="J133">
        <v>9</v>
      </c>
      <c r="K133" t="s">
        <v>23</v>
      </c>
      <c r="L133" t="s">
        <v>24</v>
      </c>
      <c r="M133">
        <v>1</v>
      </c>
    </row>
    <row r="134" spans="1:13" x14ac:dyDescent="0.35">
      <c r="A134">
        <v>8427</v>
      </c>
      <c r="B134" t="s">
        <v>31</v>
      </c>
      <c r="C134" t="s">
        <v>32</v>
      </c>
      <c r="D134">
        <v>660.25</v>
      </c>
      <c r="E134">
        <v>0.26</v>
      </c>
      <c r="F134">
        <v>7.0000000000000007E-2</v>
      </c>
      <c r="G134">
        <v>10</v>
      </c>
      <c r="H134">
        <v>93</v>
      </c>
      <c r="I134">
        <v>9</v>
      </c>
      <c r="J134">
        <v>3</v>
      </c>
      <c r="K134" t="s">
        <v>23</v>
      </c>
      <c r="L134" t="s">
        <v>24</v>
      </c>
      <c r="M134">
        <v>1</v>
      </c>
    </row>
    <row r="135" spans="1:13" x14ac:dyDescent="0.35">
      <c r="A135">
        <v>8430</v>
      </c>
      <c r="B135" t="s">
        <v>29</v>
      </c>
      <c r="C135" t="s">
        <v>26</v>
      </c>
      <c r="D135">
        <v>5017.95</v>
      </c>
      <c r="E135">
        <v>0.05</v>
      </c>
      <c r="F135">
        <v>0.17</v>
      </c>
      <c r="G135">
        <v>31</v>
      </c>
      <c r="H135">
        <v>44</v>
      </c>
      <c r="I135">
        <v>6</v>
      </c>
      <c r="J135">
        <v>7</v>
      </c>
      <c r="K135" t="s">
        <v>23</v>
      </c>
      <c r="L135" t="s">
        <v>24</v>
      </c>
      <c r="M135">
        <v>1</v>
      </c>
    </row>
    <row r="136" spans="1:13" x14ac:dyDescent="0.35">
      <c r="A136">
        <v>8433</v>
      </c>
      <c r="B136" t="s">
        <v>31</v>
      </c>
      <c r="C136" t="s">
        <v>30</v>
      </c>
      <c r="D136">
        <v>2061.19</v>
      </c>
      <c r="E136">
        <v>0.1</v>
      </c>
      <c r="F136">
        <v>0.12</v>
      </c>
      <c r="G136">
        <v>39</v>
      </c>
      <c r="H136">
        <v>49</v>
      </c>
      <c r="I136">
        <v>6</v>
      </c>
      <c r="J136">
        <v>1</v>
      </c>
      <c r="K136" t="s">
        <v>23</v>
      </c>
      <c r="L136" t="s">
        <v>24</v>
      </c>
      <c r="M136">
        <v>1</v>
      </c>
    </row>
    <row r="137" spans="1:13" x14ac:dyDescent="0.35">
      <c r="A137">
        <v>8434</v>
      </c>
      <c r="B137" t="s">
        <v>25</v>
      </c>
      <c r="C137" t="s">
        <v>30</v>
      </c>
      <c r="D137">
        <v>1072.6400000000001</v>
      </c>
      <c r="E137">
        <v>0.23</v>
      </c>
      <c r="F137">
        <v>0.08</v>
      </c>
      <c r="G137">
        <v>27</v>
      </c>
      <c r="H137">
        <v>31</v>
      </c>
      <c r="I137">
        <v>15</v>
      </c>
      <c r="J137">
        <v>8</v>
      </c>
      <c r="K137" t="s">
        <v>23</v>
      </c>
      <c r="L137" t="s">
        <v>24</v>
      </c>
      <c r="M137">
        <v>1</v>
      </c>
    </row>
    <row r="138" spans="1:13" x14ac:dyDescent="0.35">
      <c r="A138">
        <v>8440</v>
      </c>
      <c r="B138" t="s">
        <v>28</v>
      </c>
      <c r="C138" t="s">
        <v>26</v>
      </c>
      <c r="D138">
        <v>7036.58</v>
      </c>
      <c r="E138">
        <v>0.09</v>
      </c>
      <c r="F138">
        <v>0.1</v>
      </c>
      <c r="G138">
        <v>18</v>
      </c>
      <c r="H138">
        <v>65</v>
      </c>
      <c r="I138">
        <v>16</v>
      </c>
      <c r="J138">
        <v>7</v>
      </c>
      <c r="K138" t="s">
        <v>23</v>
      </c>
      <c r="L138" t="s">
        <v>24</v>
      </c>
      <c r="M138">
        <v>1</v>
      </c>
    </row>
    <row r="139" spans="1:13" x14ac:dyDescent="0.35">
      <c r="A139">
        <v>8441</v>
      </c>
      <c r="B139" t="s">
        <v>25</v>
      </c>
      <c r="C139" t="s">
        <v>32</v>
      </c>
      <c r="D139">
        <v>965.03</v>
      </c>
      <c r="E139">
        <v>0.18</v>
      </c>
      <c r="F139">
        <v>0.08</v>
      </c>
      <c r="G139">
        <v>1</v>
      </c>
      <c r="H139">
        <v>66</v>
      </c>
      <c r="I139">
        <v>16</v>
      </c>
      <c r="J139">
        <v>0</v>
      </c>
      <c r="K139" t="s">
        <v>23</v>
      </c>
      <c r="L139" t="s">
        <v>24</v>
      </c>
      <c r="M139">
        <v>1</v>
      </c>
    </row>
    <row r="140" spans="1:13" x14ac:dyDescent="0.35">
      <c r="A140">
        <v>8445</v>
      </c>
      <c r="B140" t="s">
        <v>29</v>
      </c>
      <c r="C140" t="s">
        <v>26</v>
      </c>
      <c r="D140">
        <v>4007.04</v>
      </c>
      <c r="E140">
        <v>0.26</v>
      </c>
      <c r="F140">
        <v>0.05</v>
      </c>
      <c r="G140">
        <v>17</v>
      </c>
      <c r="H140">
        <v>17</v>
      </c>
      <c r="I140">
        <v>13</v>
      </c>
      <c r="J140">
        <v>2</v>
      </c>
      <c r="K140" t="s">
        <v>23</v>
      </c>
      <c r="L140" t="s">
        <v>24</v>
      </c>
      <c r="M140">
        <v>1</v>
      </c>
    </row>
    <row r="141" spans="1:13" x14ac:dyDescent="0.35">
      <c r="A141">
        <v>8449</v>
      </c>
      <c r="B141" t="s">
        <v>25</v>
      </c>
      <c r="C141" t="s">
        <v>32</v>
      </c>
      <c r="D141">
        <v>3009.32</v>
      </c>
      <c r="E141">
        <v>7.0000000000000007E-2</v>
      </c>
      <c r="F141">
        <v>0.06</v>
      </c>
      <c r="G141">
        <v>43</v>
      </c>
      <c r="H141">
        <v>84</v>
      </c>
      <c r="I141">
        <v>14</v>
      </c>
      <c r="J141">
        <v>9</v>
      </c>
      <c r="K141" t="s">
        <v>23</v>
      </c>
      <c r="L141" t="s">
        <v>24</v>
      </c>
      <c r="M141">
        <v>1</v>
      </c>
    </row>
    <row r="142" spans="1:13" x14ac:dyDescent="0.35">
      <c r="A142">
        <v>8452</v>
      </c>
      <c r="B142" t="s">
        <v>31</v>
      </c>
      <c r="C142" t="s">
        <v>26</v>
      </c>
      <c r="D142">
        <v>7709.05</v>
      </c>
      <c r="E142">
        <v>0.04</v>
      </c>
      <c r="F142">
        <v>0.09</v>
      </c>
      <c r="G142">
        <v>37</v>
      </c>
      <c r="H142">
        <v>63</v>
      </c>
      <c r="I142">
        <v>11</v>
      </c>
      <c r="J142">
        <v>6</v>
      </c>
      <c r="K142" t="s">
        <v>23</v>
      </c>
      <c r="L142" t="s">
        <v>24</v>
      </c>
      <c r="M142">
        <v>1</v>
      </c>
    </row>
    <row r="143" spans="1:13" x14ac:dyDescent="0.35">
      <c r="A143">
        <v>8457</v>
      </c>
      <c r="B143" t="s">
        <v>31</v>
      </c>
      <c r="C143" t="s">
        <v>19</v>
      </c>
      <c r="D143">
        <v>2950.12</v>
      </c>
      <c r="E143">
        <v>0.09</v>
      </c>
      <c r="F143">
        <v>0.11</v>
      </c>
      <c r="G143">
        <v>12</v>
      </c>
      <c r="H143">
        <v>72</v>
      </c>
      <c r="I143">
        <v>6</v>
      </c>
      <c r="J143">
        <v>6</v>
      </c>
      <c r="K143" t="s">
        <v>23</v>
      </c>
      <c r="L143" t="s">
        <v>24</v>
      </c>
      <c r="M143">
        <v>1</v>
      </c>
    </row>
    <row r="144" spans="1:13" x14ac:dyDescent="0.35">
      <c r="A144">
        <v>8458</v>
      </c>
      <c r="B144" t="s">
        <v>28</v>
      </c>
      <c r="C144" t="s">
        <v>26</v>
      </c>
      <c r="D144">
        <v>650.07000000000005</v>
      </c>
      <c r="E144">
        <v>0.27</v>
      </c>
      <c r="F144">
        <v>0.12</v>
      </c>
      <c r="G144">
        <v>21</v>
      </c>
      <c r="H144">
        <v>74</v>
      </c>
      <c r="I144">
        <v>2</v>
      </c>
      <c r="J144">
        <v>8</v>
      </c>
      <c r="K144" t="s">
        <v>23</v>
      </c>
      <c r="L144" t="s">
        <v>24</v>
      </c>
      <c r="M144">
        <v>1</v>
      </c>
    </row>
    <row r="145" spans="1:13" x14ac:dyDescent="0.35">
      <c r="A145">
        <v>8460</v>
      </c>
      <c r="B145" t="s">
        <v>31</v>
      </c>
      <c r="C145" t="s">
        <v>26</v>
      </c>
      <c r="D145">
        <v>6523.08</v>
      </c>
      <c r="E145">
        <v>0.26</v>
      </c>
      <c r="F145">
        <v>0.09</v>
      </c>
      <c r="G145">
        <v>47</v>
      </c>
      <c r="H145">
        <v>77</v>
      </c>
      <c r="I145">
        <v>18</v>
      </c>
      <c r="J145">
        <v>5</v>
      </c>
      <c r="K145" t="s">
        <v>23</v>
      </c>
      <c r="L145" t="s">
        <v>24</v>
      </c>
      <c r="M145">
        <v>1</v>
      </c>
    </row>
    <row r="146" spans="1:13" x14ac:dyDescent="0.35">
      <c r="A146">
        <v>8461</v>
      </c>
      <c r="B146" t="s">
        <v>22</v>
      </c>
      <c r="C146" t="s">
        <v>30</v>
      </c>
      <c r="D146">
        <v>8036.13</v>
      </c>
      <c r="E146">
        <v>0.15</v>
      </c>
      <c r="F146">
        <v>0.12</v>
      </c>
      <c r="G146">
        <v>17</v>
      </c>
      <c r="H146">
        <v>37</v>
      </c>
      <c r="I146">
        <v>13</v>
      </c>
      <c r="J146">
        <v>7</v>
      </c>
      <c r="K146" t="s">
        <v>23</v>
      </c>
      <c r="L146" t="s">
        <v>24</v>
      </c>
      <c r="M146">
        <v>1</v>
      </c>
    </row>
    <row r="147" spans="1:13" x14ac:dyDescent="0.35">
      <c r="A147">
        <v>8465</v>
      </c>
      <c r="B147" t="s">
        <v>25</v>
      </c>
      <c r="C147" t="s">
        <v>30</v>
      </c>
      <c r="D147">
        <v>6309.8</v>
      </c>
      <c r="E147">
        <v>0.03</v>
      </c>
      <c r="F147">
        <v>0.16</v>
      </c>
      <c r="G147">
        <v>32</v>
      </c>
      <c r="H147">
        <v>71</v>
      </c>
      <c r="I147">
        <v>4</v>
      </c>
      <c r="J147">
        <v>4</v>
      </c>
      <c r="K147" t="s">
        <v>23</v>
      </c>
      <c r="L147" t="s">
        <v>24</v>
      </c>
      <c r="M147">
        <v>1</v>
      </c>
    </row>
    <row r="148" spans="1:13" x14ac:dyDescent="0.35">
      <c r="A148">
        <v>8466</v>
      </c>
      <c r="B148" t="s">
        <v>25</v>
      </c>
      <c r="C148" t="s">
        <v>30</v>
      </c>
      <c r="D148">
        <v>8095.34</v>
      </c>
      <c r="E148">
        <v>0.28000000000000003</v>
      </c>
      <c r="F148">
        <v>0.2</v>
      </c>
      <c r="G148">
        <v>45</v>
      </c>
      <c r="H148">
        <v>93</v>
      </c>
      <c r="I148">
        <v>5</v>
      </c>
      <c r="J148">
        <v>4</v>
      </c>
      <c r="K148" t="s">
        <v>23</v>
      </c>
      <c r="L148" t="s">
        <v>24</v>
      </c>
      <c r="M148">
        <v>1</v>
      </c>
    </row>
    <row r="149" spans="1:13" x14ac:dyDescent="0.35">
      <c r="A149">
        <v>8468</v>
      </c>
      <c r="B149" t="s">
        <v>22</v>
      </c>
      <c r="C149" t="s">
        <v>30</v>
      </c>
      <c r="D149">
        <v>3048.86</v>
      </c>
      <c r="E149">
        <v>0.11</v>
      </c>
      <c r="F149">
        <v>0.16</v>
      </c>
      <c r="G149">
        <v>34</v>
      </c>
      <c r="H149">
        <v>64</v>
      </c>
      <c r="I149">
        <v>9</v>
      </c>
      <c r="J149">
        <v>0</v>
      </c>
      <c r="K149" t="s">
        <v>23</v>
      </c>
      <c r="L149" t="s">
        <v>24</v>
      </c>
      <c r="M149">
        <v>1</v>
      </c>
    </row>
    <row r="150" spans="1:13" x14ac:dyDescent="0.35">
      <c r="A150">
        <v>8469</v>
      </c>
      <c r="B150" t="s">
        <v>22</v>
      </c>
      <c r="C150" t="s">
        <v>32</v>
      </c>
      <c r="D150">
        <v>838.07</v>
      </c>
      <c r="E150">
        <v>0.08</v>
      </c>
      <c r="F150">
        <v>0.06</v>
      </c>
      <c r="G150">
        <v>11</v>
      </c>
      <c r="H150">
        <v>88</v>
      </c>
      <c r="I150">
        <v>4</v>
      </c>
      <c r="J150">
        <v>2</v>
      </c>
      <c r="K150" t="s">
        <v>23</v>
      </c>
      <c r="L150" t="s">
        <v>24</v>
      </c>
      <c r="M150">
        <v>0</v>
      </c>
    </row>
    <row r="151" spans="1:13" x14ac:dyDescent="0.35">
      <c r="A151">
        <v>8471</v>
      </c>
      <c r="B151" t="s">
        <v>31</v>
      </c>
      <c r="C151" t="s">
        <v>32</v>
      </c>
      <c r="D151">
        <v>1019.34</v>
      </c>
      <c r="E151">
        <v>0.21</v>
      </c>
      <c r="F151">
        <v>0.14000000000000001</v>
      </c>
      <c r="G151">
        <v>33</v>
      </c>
      <c r="H151">
        <v>26</v>
      </c>
      <c r="I151">
        <v>6</v>
      </c>
      <c r="J151">
        <v>5</v>
      </c>
      <c r="K151" t="s">
        <v>23</v>
      </c>
      <c r="L151" t="s">
        <v>24</v>
      </c>
      <c r="M151">
        <v>1</v>
      </c>
    </row>
    <row r="152" spans="1:13" x14ac:dyDescent="0.35">
      <c r="A152">
        <v>8472</v>
      </c>
      <c r="B152" t="s">
        <v>31</v>
      </c>
      <c r="C152" t="s">
        <v>30</v>
      </c>
      <c r="D152">
        <v>2509.7800000000002</v>
      </c>
      <c r="E152">
        <v>0.18</v>
      </c>
      <c r="F152">
        <v>0.02</v>
      </c>
      <c r="G152">
        <v>11</v>
      </c>
      <c r="H152">
        <v>24</v>
      </c>
      <c r="I152">
        <v>9</v>
      </c>
      <c r="J152">
        <v>3</v>
      </c>
      <c r="K152" t="s">
        <v>23</v>
      </c>
      <c r="L152" t="s">
        <v>24</v>
      </c>
      <c r="M152">
        <v>1</v>
      </c>
    </row>
    <row r="153" spans="1:13" x14ac:dyDescent="0.35">
      <c r="A153">
        <v>8474</v>
      </c>
      <c r="B153" t="s">
        <v>28</v>
      </c>
      <c r="C153" t="s">
        <v>19</v>
      </c>
      <c r="D153">
        <v>9077.42</v>
      </c>
      <c r="E153">
        <v>0.02</v>
      </c>
      <c r="F153">
        <v>0.01</v>
      </c>
      <c r="G153">
        <v>31</v>
      </c>
      <c r="H153">
        <v>67</v>
      </c>
      <c r="I153">
        <v>16</v>
      </c>
      <c r="J153">
        <v>9</v>
      </c>
      <c r="K153" t="s">
        <v>23</v>
      </c>
      <c r="L153" t="s">
        <v>24</v>
      </c>
      <c r="M153">
        <v>1</v>
      </c>
    </row>
    <row r="154" spans="1:13" x14ac:dyDescent="0.35">
      <c r="A154">
        <v>8481</v>
      </c>
      <c r="B154" t="s">
        <v>22</v>
      </c>
      <c r="C154" t="s">
        <v>32</v>
      </c>
      <c r="D154">
        <v>8030.77</v>
      </c>
      <c r="E154">
        <v>0.11</v>
      </c>
      <c r="F154">
        <v>0.19</v>
      </c>
      <c r="G154">
        <v>4</v>
      </c>
      <c r="H154">
        <v>75</v>
      </c>
      <c r="I154">
        <v>5</v>
      </c>
      <c r="J154">
        <v>4</v>
      </c>
      <c r="K154" t="s">
        <v>23</v>
      </c>
      <c r="L154" t="s">
        <v>24</v>
      </c>
      <c r="M154">
        <v>1</v>
      </c>
    </row>
    <row r="155" spans="1:13" x14ac:dyDescent="0.35">
      <c r="A155">
        <v>8483</v>
      </c>
      <c r="B155" t="s">
        <v>29</v>
      </c>
      <c r="C155" t="s">
        <v>26</v>
      </c>
      <c r="D155">
        <v>3605.63</v>
      </c>
      <c r="E155">
        <v>0.19</v>
      </c>
      <c r="F155">
        <v>0.12</v>
      </c>
      <c r="G155">
        <v>5</v>
      </c>
      <c r="H155">
        <v>78</v>
      </c>
      <c r="I155">
        <v>4</v>
      </c>
      <c r="J155">
        <v>3</v>
      </c>
      <c r="K155" t="s">
        <v>23</v>
      </c>
      <c r="L155" t="s">
        <v>24</v>
      </c>
      <c r="M155">
        <v>1</v>
      </c>
    </row>
    <row r="156" spans="1:13" x14ac:dyDescent="0.35">
      <c r="A156">
        <v>8484</v>
      </c>
      <c r="B156" t="s">
        <v>31</v>
      </c>
      <c r="C156" t="s">
        <v>32</v>
      </c>
      <c r="D156">
        <v>7087.85</v>
      </c>
      <c r="E156">
        <v>0.02</v>
      </c>
      <c r="F156">
        <v>0.12</v>
      </c>
      <c r="G156">
        <v>18</v>
      </c>
      <c r="H156">
        <v>56</v>
      </c>
      <c r="I156">
        <v>15</v>
      </c>
      <c r="J156">
        <v>8</v>
      </c>
      <c r="K156" t="s">
        <v>23</v>
      </c>
      <c r="L156" t="s">
        <v>24</v>
      </c>
      <c r="M156">
        <v>1</v>
      </c>
    </row>
    <row r="157" spans="1:13" x14ac:dyDescent="0.35">
      <c r="A157">
        <v>8486</v>
      </c>
      <c r="B157" t="s">
        <v>22</v>
      </c>
      <c r="C157" t="s">
        <v>30</v>
      </c>
      <c r="D157">
        <v>6939.08</v>
      </c>
      <c r="E157">
        <v>0.19</v>
      </c>
      <c r="F157">
        <v>0.12</v>
      </c>
      <c r="G157">
        <v>39</v>
      </c>
      <c r="H157">
        <v>68</v>
      </c>
      <c r="I157">
        <v>15</v>
      </c>
      <c r="J157">
        <v>4</v>
      </c>
      <c r="K157" t="s">
        <v>23</v>
      </c>
      <c r="L157" t="s">
        <v>24</v>
      </c>
      <c r="M157">
        <v>1</v>
      </c>
    </row>
    <row r="158" spans="1:13" x14ac:dyDescent="0.35">
      <c r="A158">
        <v>8494</v>
      </c>
      <c r="B158" t="s">
        <v>22</v>
      </c>
      <c r="C158" t="s">
        <v>30</v>
      </c>
      <c r="D158">
        <v>7760.63</v>
      </c>
      <c r="E158">
        <v>0.28999999999999998</v>
      </c>
      <c r="F158">
        <v>0.08</v>
      </c>
      <c r="G158">
        <v>42</v>
      </c>
      <c r="H158">
        <v>93</v>
      </c>
      <c r="I158">
        <v>19</v>
      </c>
      <c r="J158">
        <v>7</v>
      </c>
      <c r="K158" t="s">
        <v>23</v>
      </c>
      <c r="L158" t="s">
        <v>24</v>
      </c>
      <c r="M158">
        <v>1</v>
      </c>
    </row>
    <row r="159" spans="1:13" x14ac:dyDescent="0.35">
      <c r="A159">
        <v>8500</v>
      </c>
      <c r="B159" t="s">
        <v>29</v>
      </c>
      <c r="C159" t="s">
        <v>19</v>
      </c>
      <c r="D159">
        <v>1294.03</v>
      </c>
      <c r="E159">
        <v>0.23</v>
      </c>
      <c r="F159">
        <v>0.03</v>
      </c>
      <c r="G159">
        <v>28</v>
      </c>
      <c r="H159">
        <v>28</v>
      </c>
      <c r="I159">
        <v>7</v>
      </c>
      <c r="J159">
        <v>7</v>
      </c>
      <c r="K159" t="s">
        <v>23</v>
      </c>
      <c r="L159" t="s">
        <v>24</v>
      </c>
      <c r="M159">
        <v>1</v>
      </c>
    </row>
    <row r="160" spans="1:13" x14ac:dyDescent="0.35">
      <c r="A160">
        <v>8501</v>
      </c>
      <c r="B160" t="s">
        <v>31</v>
      </c>
      <c r="C160" t="s">
        <v>32</v>
      </c>
      <c r="D160">
        <v>1739.01</v>
      </c>
      <c r="E160">
        <v>0.06</v>
      </c>
      <c r="F160">
        <v>0.08</v>
      </c>
      <c r="G160">
        <v>1</v>
      </c>
      <c r="H160">
        <v>6</v>
      </c>
      <c r="I160">
        <v>12</v>
      </c>
      <c r="J160">
        <v>0</v>
      </c>
      <c r="K160" t="s">
        <v>23</v>
      </c>
      <c r="L160" t="s">
        <v>24</v>
      </c>
      <c r="M160">
        <v>0</v>
      </c>
    </row>
    <row r="161" spans="1:13" x14ac:dyDescent="0.35">
      <c r="A161">
        <v>8502</v>
      </c>
      <c r="B161" t="s">
        <v>28</v>
      </c>
      <c r="C161" t="s">
        <v>19</v>
      </c>
      <c r="D161">
        <v>8220.77</v>
      </c>
      <c r="E161">
        <v>0.02</v>
      </c>
      <c r="F161">
        <v>7.0000000000000007E-2</v>
      </c>
      <c r="G161">
        <v>29</v>
      </c>
      <c r="H161">
        <v>48</v>
      </c>
      <c r="I161">
        <v>5</v>
      </c>
      <c r="J161">
        <v>4</v>
      </c>
      <c r="K161" t="s">
        <v>23</v>
      </c>
      <c r="L161" t="s">
        <v>24</v>
      </c>
      <c r="M161">
        <v>1</v>
      </c>
    </row>
    <row r="162" spans="1:13" x14ac:dyDescent="0.35">
      <c r="A162">
        <v>8503</v>
      </c>
      <c r="B162" t="s">
        <v>25</v>
      </c>
      <c r="C162" t="s">
        <v>32</v>
      </c>
      <c r="D162">
        <v>8052.8</v>
      </c>
      <c r="E162">
        <v>7.0000000000000007E-2</v>
      </c>
      <c r="F162">
        <v>0.1</v>
      </c>
      <c r="G162">
        <v>38</v>
      </c>
      <c r="H162">
        <v>64</v>
      </c>
      <c r="I162">
        <v>8</v>
      </c>
      <c r="J162">
        <v>2</v>
      </c>
      <c r="K162" t="s">
        <v>23</v>
      </c>
      <c r="L162" t="s">
        <v>24</v>
      </c>
      <c r="M162">
        <v>1</v>
      </c>
    </row>
    <row r="163" spans="1:13" x14ac:dyDescent="0.35">
      <c r="A163">
        <v>8507</v>
      </c>
      <c r="B163" t="s">
        <v>22</v>
      </c>
      <c r="C163" t="s">
        <v>19</v>
      </c>
      <c r="D163">
        <v>3339.05</v>
      </c>
      <c r="E163">
        <v>0.23</v>
      </c>
      <c r="F163">
        <v>0.02</v>
      </c>
      <c r="G163">
        <v>19</v>
      </c>
      <c r="H163">
        <v>98</v>
      </c>
      <c r="I163">
        <v>11</v>
      </c>
      <c r="J163">
        <v>0</v>
      </c>
      <c r="K163" t="s">
        <v>23</v>
      </c>
      <c r="L163" t="s">
        <v>24</v>
      </c>
      <c r="M163">
        <v>1</v>
      </c>
    </row>
    <row r="164" spans="1:13" x14ac:dyDescent="0.35">
      <c r="A164">
        <v>8509</v>
      </c>
      <c r="B164" t="s">
        <v>22</v>
      </c>
      <c r="C164" t="s">
        <v>30</v>
      </c>
      <c r="D164">
        <v>4909.58</v>
      </c>
      <c r="E164">
        <v>0.25</v>
      </c>
      <c r="F164">
        <v>0.1</v>
      </c>
      <c r="G164">
        <v>18</v>
      </c>
      <c r="H164">
        <v>84</v>
      </c>
      <c r="I164">
        <v>18</v>
      </c>
      <c r="J164">
        <v>5</v>
      </c>
      <c r="K164" t="s">
        <v>23</v>
      </c>
      <c r="L164" t="s">
        <v>24</v>
      </c>
      <c r="M164">
        <v>1</v>
      </c>
    </row>
    <row r="165" spans="1:13" x14ac:dyDescent="0.35">
      <c r="A165">
        <v>8510</v>
      </c>
      <c r="B165" t="s">
        <v>25</v>
      </c>
      <c r="C165" t="s">
        <v>19</v>
      </c>
      <c r="D165">
        <v>9300.31</v>
      </c>
      <c r="E165">
        <v>0.24</v>
      </c>
      <c r="F165">
        <v>0.02</v>
      </c>
      <c r="G165">
        <v>5</v>
      </c>
      <c r="H165">
        <v>12</v>
      </c>
      <c r="I165">
        <v>18</v>
      </c>
      <c r="J165">
        <v>5</v>
      </c>
      <c r="K165" t="s">
        <v>23</v>
      </c>
      <c r="L165" t="s">
        <v>24</v>
      </c>
      <c r="M165">
        <v>1</v>
      </c>
    </row>
    <row r="166" spans="1:13" x14ac:dyDescent="0.35">
      <c r="A166">
        <v>8514</v>
      </c>
      <c r="B166" t="s">
        <v>29</v>
      </c>
      <c r="C166" t="s">
        <v>26</v>
      </c>
      <c r="D166">
        <v>9901.9699999999993</v>
      </c>
      <c r="E166">
        <v>0.11</v>
      </c>
      <c r="F166">
        <v>0.13</v>
      </c>
      <c r="G166">
        <v>32</v>
      </c>
      <c r="H166">
        <v>72</v>
      </c>
      <c r="I166">
        <v>14</v>
      </c>
      <c r="J166">
        <v>4</v>
      </c>
      <c r="K166" t="s">
        <v>23</v>
      </c>
      <c r="L166" t="s">
        <v>24</v>
      </c>
      <c r="M166">
        <v>1</v>
      </c>
    </row>
    <row r="167" spans="1:13" x14ac:dyDescent="0.35">
      <c r="A167">
        <v>8520</v>
      </c>
      <c r="B167" t="s">
        <v>22</v>
      </c>
      <c r="C167" t="s">
        <v>26</v>
      </c>
      <c r="D167">
        <v>5603.16</v>
      </c>
      <c r="E167">
        <v>0.28000000000000003</v>
      </c>
      <c r="F167">
        <v>0.17</v>
      </c>
      <c r="G167">
        <v>0</v>
      </c>
      <c r="H167">
        <v>58</v>
      </c>
      <c r="I167">
        <v>12</v>
      </c>
      <c r="J167">
        <v>4</v>
      </c>
      <c r="K167" t="s">
        <v>23</v>
      </c>
      <c r="L167" t="s">
        <v>24</v>
      </c>
      <c r="M167">
        <v>1</v>
      </c>
    </row>
    <row r="168" spans="1:13" x14ac:dyDescent="0.35">
      <c r="A168">
        <v>8523</v>
      </c>
      <c r="B168" t="s">
        <v>31</v>
      </c>
      <c r="C168" t="s">
        <v>30</v>
      </c>
      <c r="D168">
        <v>9380.66</v>
      </c>
      <c r="E168">
        <v>0.16</v>
      </c>
      <c r="F168">
        <v>0.08</v>
      </c>
      <c r="G168">
        <v>21</v>
      </c>
      <c r="H168">
        <v>5</v>
      </c>
      <c r="I168">
        <v>14</v>
      </c>
      <c r="J168">
        <v>6</v>
      </c>
      <c r="K168" t="s">
        <v>23</v>
      </c>
      <c r="L168" t="s">
        <v>24</v>
      </c>
      <c r="M168">
        <v>1</v>
      </c>
    </row>
    <row r="169" spans="1:13" x14ac:dyDescent="0.35">
      <c r="A169">
        <v>8525</v>
      </c>
      <c r="B169" t="s">
        <v>22</v>
      </c>
      <c r="C169" t="s">
        <v>30</v>
      </c>
      <c r="D169">
        <v>2804.32</v>
      </c>
      <c r="E169">
        <v>0.28999999999999998</v>
      </c>
      <c r="F169">
        <v>0.04</v>
      </c>
      <c r="G169">
        <v>28</v>
      </c>
      <c r="H169">
        <v>30</v>
      </c>
      <c r="I169">
        <v>8</v>
      </c>
      <c r="J169">
        <v>1</v>
      </c>
      <c r="K169" t="s">
        <v>23</v>
      </c>
      <c r="L169" t="s">
        <v>24</v>
      </c>
      <c r="M169">
        <v>1</v>
      </c>
    </row>
    <row r="170" spans="1:13" x14ac:dyDescent="0.35">
      <c r="A170">
        <v>8526</v>
      </c>
      <c r="B170" t="s">
        <v>29</v>
      </c>
      <c r="C170" t="s">
        <v>30</v>
      </c>
      <c r="D170">
        <v>3038.9</v>
      </c>
      <c r="E170">
        <v>0.22</v>
      </c>
      <c r="F170">
        <v>0.19</v>
      </c>
      <c r="G170">
        <v>35</v>
      </c>
      <c r="H170">
        <v>17</v>
      </c>
      <c r="I170">
        <v>16</v>
      </c>
      <c r="J170">
        <v>1</v>
      </c>
      <c r="K170" t="s">
        <v>23</v>
      </c>
      <c r="L170" t="s">
        <v>24</v>
      </c>
      <c r="M170">
        <v>1</v>
      </c>
    </row>
    <row r="171" spans="1:13" x14ac:dyDescent="0.35">
      <c r="A171">
        <v>8528</v>
      </c>
      <c r="B171" t="s">
        <v>31</v>
      </c>
      <c r="C171" t="s">
        <v>19</v>
      </c>
      <c r="D171">
        <v>2930.09</v>
      </c>
      <c r="E171">
        <v>0.23</v>
      </c>
      <c r="F171">
        <v>0.19</v>
      </c>
      <c r="G171">
        <v>32</v>
      </c>
      <c r="H171">
        <v>2</v>
      </c>
      <c r="I171">
        <v>9</v>
      </c>
      <c r="J171">
        <v>5</v>
      </c>
      <c r="K171" t="s">
        <v>23</v>
      </c>
      <c r="L171" t="s">
        <v>24</v>
      </c>
      <c r="M171">
        <v>1</v>
      </c>
    </row>
    <row r="172" spans="1:13" x14ac:dyDescent="0.35">
      <c r="A172">
        <v>8529</v>
      </c>
      <c r="B172" t="s">
        <v>28</v>
      </c>
      <c r="C172" t="s">
        <v>32</v>
      </c>
      <c r="D172">
        <v>1016.99</v>
      </c>
      <c r="E172">
        <v>0.15</v>
      </c>
      <c r="F172">
        <v>0.06</v>
      </c>
      <c r="G172">
        <v>38</v>
      </c>
      <c r="H172">
        <v>70</v>
      </c>
      <c r="I172">
        <v>8</v>
      </c>
      <c r="J172">
        <v>1</v>
      </c>
      <c r="K172" t="s">
        <v>23</v>
      </c>
      <c r="L172" t="s">
        <v>24</v>
      </c>
      <c r="M172">
        <v>1</v>
      </c>
    </row>
    <row r="173" spans="1:13" x14ac:dyDescent="0.35">
      <c r="A173">
        <v>8530</v>
      </c>
      <c r="B173" t="s">
        <v>25</v>
      </c>
      <c r="C173" t="s">
        <v>19</v>
      </c>
      <c r="D173">
        <v>5044.54</v>
      </c>
      <c r="E173">
        <v>0.01</v>
      </c>
      <c r="F173">
        <v>0.12</v>
      </c>
      <c r="G173">
        <v>13</v>
      </c>
      <c r="H173">
        <v>25</v>
      </c>
      <c r="I173">
        <v>19</v>
      </c>
      <c r="J173">
        <v>4</v>
      </c>
      <c r="K173" t="s">
        <v>23</v>
      </c>
      <c r="L173" t="s">
        <v>24</v>
      </c>
      <c r="M173">
        <v>1</v>
      </c>
    </row>
    <row r="174" spans="1:13" x14ac:dyDescent="0.35">
      <c r="A174">
        <v>8538</v>
      </c>
      <c r="B174" t="s">
        <v>29</v>
      </c>
      <c r="C174" t="s">
        <v>26</v>
      </c>
      <c r="D174">
        <v>3063.27</v>
      </c>
      <c r="E174">
        <v>0.19</v>
      </c>
      <c r="F174">
        <v>7.0000000000000007E-2</v>
      </c>
      <c r="G174">
        <v>4</v>
      </c>
      <c r="H174">
        <v>78</v>
      </c>
      <c r="I174">
        <v>9</v>
      </c>
      <c r="J174">
        <v>6</v>
      </c>
      <c r="K174" t="s">
        <v>23</v>
      </c>
      <c r="L174" t="s">
        <v>24</v>
      </c>
      <c r="M174">
        <v>1</v>
      </c>
    </row>
    <row r="175" spans="1:13" x14ac:dyDescent="0.35">
      <c r="A175">
        <v>8541</v>
      </c>
      <c r="B175" t="s">
        <v>22</v>
      </c>
      <c r="C175" t="s">
        <v>32</v>
      </c>
      <c r="D175">
        <v>4602.93</v>
      </c>
      <c r="E175">
        <v>0.16</v>
      </c>
      <c r="F175">
        <v>0.05</v>
      </c>
      <c r="G175">
        <v>45</v>
      </c>
      <c r="H175">
        <v>46</v>
      </c>
      <c r="I175">
        <v>18</v>
      </c>
      <c r="J175">
        <v>1</v>
      </c>
      <c r="K175" t="s">
        <v>23</v>
      </c>
      <c r="L175" t="s">
        <v>24</v>
      </c>
      <c r="M175">
        <v>1</v>
      </c>
    </row>
    <row r="176" spans="1:13" x14ac:dyDescent="0.35">
      <c r="A176">
        <v>8544</v>
      </c>
      <c r="B176" t="s">
        <v>28</v>
      </c>
      <c r="C176" t="s">
        <v>19</v>
      </c>
      <c r="D176">
        <v>8960.17</v>
      </c>
      <c r="E176">
        <v>0.01</v>
      </c>
      <c r="F176">
        <v>0.02</v>
      </c>
      <c r="G176">
        <v>47</v>
      </c>
      <c r="H176">
        <v>95</v>
      </c>
      <c r="I176">
        <v>16</v>
      </c>
      <c r="J176">
        <v>7</v>
      </c>
      <c r="K176" t="s">
        <v>23</v>
      </c>
      <c r="L176" t="s">
        <v>24</v>
      </c>
      <c r="M176">
        <v>1</v>
      </c>
    </row>
    <row r="177" spans="1:13" x14ac:dyDescent="0.35">
      <c r="A177">
        <v>8545</v>
      </c>
      <c r="B177" t="s">
        <v>31</v>
      </c>
      <c r="C177" t="s">
        <v>32</v>
      </c>
      <c r="D177">
        <v>1610.69</v>
      </c>
      <c r="E177">
        <v>0.26</v>
      </c>
      <c r="F177">
        <v>0.04</v>
      </c>
      <c r="G177">
        <v>36</v>
      </c>
      <c r="H177">
        <v>87</v>
      </c>
      <c r="I177">
        <v>2</v>
      </c>
      <c r="J177">
        <v>8</v>
      </c>
      <c r="K177" t="s">
        <v>23</v>
      </c>
      <c r="L177" t="s">
        <v>24</v>
      </c>
      <c r="M177">
        <v>1</v>
      </c>
    </row>
    <row r="178" spans="1:13" x14ac:dyDescent="0.35">
      <c r="A178">
        <v>8546</v>
      </c>
      <c r="B178" t="s">
        <v>22</v>
      </c>
      <c r="C178" t="s">
        <v>26</v>
      </c>
      <c r="D178">
        <v>2001.8</v>
      </c>
      <c r="E178">
        <v>0.01</v>
      </c>
      <c r="F178">
        <v>0.13</v>
      </c>
      <c r="G178">
        <v>26</v>
      </c>
      <c r="H178">
        <v>83</v>
      </c>
      <c r="I178">
        <v>2</v>
      </c>
      <c r="J178">
        <v>3</v>
      </c>
      <c r="K178" t="s">
        <v>23</v>
      </c>
      <c r="L178" t="s">
        <v>24</v>
      </c>
      <c r="M178">
        <v>1</v>
      </c>
    </row>
    <row r="179" spans="1:13" x14ac:dyDescent="0.35">
      <c r="A179">
        <v>8553</v>
      </c>
      <c r="B179" t="s">
        <v>22</v>
      </c>
      <c r="C179" t="s">
        <v>30</v>
      </c>
      <c r="D179">
        <v>5800.88</v>
      </c>
      <c r="E179">
        <v>0.19</v>
      </c>
      <c r="F179">
        <v>0.08</v>
      </c>
      <c r="G179">
        <v>28</v>
      </c>
      <c r="H179">
        <v>15</v>
      </c>
      <c r="I179">
        <v>5</v>
      </c>
      <c r="J179">
        <v>2</v>
      </c>
      <c r="K179" t="s">
        <v>23</v>
      </c>
      <c r="L179" t="s">
        <v>24</v>
      </c>
      <c r="M179">
        <v>1</v>
      </c>
    </row>
    <row r="180" spans="1:13" x14ac:dyDescent="0.35">
      <c r="A180">
        <v>8554</v>
      </c>
      <c r="B180" t="s">
        <v>28</v>
      </c>
      <c r="C180" t="s">
        <v>19</v>
      </c>
      <c r="D180">
        <v>6270.75</v>
      </c>
      <c r="E180">
        <v>0.25</v>
      </c>
      <c r="F180">
        <v>0.08</v>
      </c>
      <c r="G180">
        <v>30</v>
      </c>
      <c r="H180">
        <v>64</v>
      </c>
      <c r="I180">
        <v>9</v>
      </c>
      <c r="J180">
        <v>1</v>
      </c>
      <c r="K180" t="s">
        <v>23</v>
      </c>
      <c r="L180" t="s">
        <v>24</v>
      </c>
      <c r="M180">
        <v>1</v>
      </c>
    </row>
    <row r="181" spans="1:13" x14ac:dyDescent="0.35">
      <c r="A181">
        <v>8556</v>
      </c>
      <c r="B181" t="s">
        <v>31</v>
      </c>
      <c r="C181" t="s">
        <v>30</v>
      </c>
      <c r="D181">
        <v>7390.87</v>
      </c>
      <c r="E181">
        <v>0.14000000000000001</v>
      </c>
      <c r="F181">
        <v>0.12</v>
      </c>
      <c r="G181">
        <v>7</v>
      </c>
      <c r="H181">
        <v>70</v>
      </c>
      <c r="I181">
        <v>8</v>
      </c>
      <c r="J181">
        <v>7</v>
      </c>
      <c r="K181" t="s">
        <v>23</v>
      </c>
      <c r="L181" t="s">
        <v>24</v>
      </c>
      <c r="M181">
        <v>1</v>
      </c>
    </row>
    <row r="182" spans="1:13" x14ac:dyDescent="0.35">
      <c r="A182">
        <v>8561</v>
      </c>
      <c r="B182" t="s">
        <v>25</v>
      </c>
      <c r="C182" t="s">
        <v>32</v>
      </c>
      <c r="D182">
        <v>2084.5100000000002</v>
      </c>
      <c r="E182">
        <v>7.0000000000000007E-2</v>
      </c>
      <c r="F182">
        <v>0.02</v>
      </c>
      <c r="G182">
        <v>25</v>
      </c>
      <c r="H182">
        <v>70</v>
      </c>
      <c r="I182">
        <v>15</v>
      </c>
      <c r="J182">
        <v>8</v>
      </c>
      <c r="K182" t="s">
        <v>23</v>
      </c>
      <c r="L182" t="s">
        <v>24</v>
      </c>
      <c r="M182">
        <v>0</v>
      </c>
    </row>
    <row r="183" spans="1:13" x14ac:dyDescent="0.35">
      <c r="A183">
        <v>8565</v>
      </c>
      <c r="B183" t="s">
        <v>28</v>
      </c>
      <c r="C183" t="s">
        <v>26</v>
      </c>
      <c r="D183">
        <v>9800.91</v>
      </c>
      <c r="E183">
        <v>0.15</v>
      </c>
      <c r="F183">
        <v>0.15</v>
      </c>
      <c r="G183">
        <v>22</v>
      </c>
      <c r="H183">
        <v>13</v>
      </c>
      <c r="I183">
        <v>1</v>
      </c>
      <c r="J183">
        <v>7</v>
      </c>
      <c r="K183" t="s">
        <v>23</v>
      </c>
      <c r="L183" t="s">
        <v>24</v>
      </c>
      <c r="M183">
        <v>1</v>
      </c>
    </row>
    <row r="184" spans="1:13" x14ac:dyDescent="0.35">
      <c r="A184">
        <v>8569</v>
      </c>
      <c r="B184" t="s">
        <v>22</v>
      </c>
      <c r="C184" t="s">
        <v>19</v>
      </c>
      <c r="D184">
        <v>9309.93</v>
      </c>
      <c r="E184">
        <v>0.25</v>
      </c>
      <c r="F184">
        <v>0.04</v>
      </c>
      <c r="G184">
        <v>32</v>
      </c>
      <c r="H184">
        <v>3</v>
      </c>
      <c r="I184">
        <v>14</v>
      </c>
      <c r="J184">
        <v>6</v>
      </c>
      <c r="K184" t="s">
        <v>23</v>
      </c>
      <c r="L184" t="s">
        <v>24</v>
      </c>
      <c r="M184">
        <v>1</v>
      </c>
    </row>
    <row r="185" spans="1:13" x14ac:dyDescent="0.35">
      <c r="A185">
        <v>8571</v>
      </c>
      <c r="B185" t="s">
        <v>29</v>
      </c>
      <c r="C185" t="s">
        <v>26</v>
      </c>
      <c r="D185">
        <v>4760.83</v>
      </c>
      <c r="E185">
        <v>0.05</v>
      </c>
      <c r="F185">
        <v>0.1</v>
      </c>
      <c r="G185">
        <v>48</v>
      </c>
      <c r="H185">
        <v>42</v>
      </c>
      <c r="I185">
        <v>12</v>
      </c>
      <c r="J185">
        <v>1</v>
      </c>
      <c r="K185" t="s">
        <v>23</v>
      </c>
      <c r="L185" t="s">
        <v>24</v>
      </c>
      <c r="M185">
        <v>1</v>
      </c>
    </row>
    <row r="186" spans="1:13" x14ac:dyDescent="0.35">
      <c r="A186">
        <v>8573</v>
      </c>
      <c r="B186" t="s">
        <v>29</v>
      </c>
      <c r="C186" t="s">
        <v>32</v>
      </c>
      <c r="D186">
        <v>5260.54</v>
      </c>
      <c r="E186">
        <v>0.2</v>
      </c>
      <c r="F186">
        <v>0.02</v>
      </c>
      <c r="G186">
        <v>11</v>
      </c>
      <c r="H186">
        <v>83</v>
      </c>
      <c r="I186">
        <v>4</v>
      </c>
      <c r="J186">
        <v>7</v>
      </c>
      <c r="K186" t="s">
        <v>23</v>
      </c>
      <c r="L186" t="s">
        <v>24</v>
      </c>
      <c r="M186">
        <v>1</v>
      </c>
    </row>
    <row r="187" spans="1:13" x14ac:dyDescent="0.35">
      <c r="A187">
        <v>8575</v>
      </c>
      <c r="B187" t="s">
        <v>31</v>
      </c>
      <c r="C187" t="s">
        <v>26</v>
      </c>
      <c r="D187">
        <v>3109.99</v>
      </c>
      <c r="E187">
        <v>0.08</v>
      </c>
      <c r="F187">
        <v>0.12</v>
      </c>
      <c r="G187">
        <v>41</v>
      </c>
      <c r="H187">
        <v>5</v>
      </c>
      <c r="I187">
        <v>9</v>
      </c>
      <c r="J187">
        <v>6</v>
      </c>
      <c r="K187" t="s">
        <v>23</v>
      </c>
      <c r="L187" t="s">
        <v>24</v>
      </c>
      <c r="M187">
        <v>1</v>
      </c>
    </row>
    <row r="188" spans="1:13" x14ac:dyDescent="0.35">
      <c r="A188">
        <v>8582</v>
      </c>
      <c r="B188" t="s">
        <v>31</v>
      </c>
      <c r="C188" t="s">
        <v>26</v>
      </c>
      <c r="D188">
        <v>6051.11</v>
      </c>
      <c r="E188">
        <v>0.04</v>
      </c>
      <c r="F188">
        <v>0.11</v>
      </c>
      <c r="G188">
        <v>49</v>
      </c>
      <c r="H188">
        <v>37</v>
      </c>
      <c r="I188">
        <v>12</v>
      </c>
      <c r="J188">
        <v>5</v>
      </c>
      <c r="K188" t="s">
        <v>23</v>
      </c>
      <c r="L188" t="s">
        <v>24</v>
      </c>
      <c r="M188">
        <v>1</v>
      </c>
    </row>
    <row r="189" spans="1:13" x14ac:dyDescent="0.35">
      <c r="A189">
        <v>8583</v>
      </c>
      <c r="B189" t="s">
        <v>25</v>
      </c>
      <c r="C189" t="s">
        <v>32</v>
      </c>
      <c r="D189">
        <v>7085.47</v>
      </c>
      <c r="E189">
        <v>0.21</v>
      </c>
      <c r="F189">
        <v>7.0000000000000007E-2</v>
      </c>
      <c r="G189">
        <v>1</v>
      </c>
      <c r="H189">
        <v>65</v>
      </c>
      <c r="I189">
        <v>3</v>
      </c>
      <c r="J189">
        <v>2</v>
      </c>
      <c r="K189" t="s">
        <v>23</v>
      </c>
      <c r="L189" t="s">
        <v>24</v>
      </c>
      <c r="M189">
        <v>1</v>
      </c>
    </row>
    <row r="190" spans="1:13" x14ac:dyDescent="0.35">
      <c r="A190">
        <v>8584</v>
      </c>
      <c r="B190" t="s">
        <v>22</v>
      </c>
      <c r="C190" t="s">
        <v>30</v>
      </c>
      <c r="D190">
        <v>4008.13</v>
      </c>
      <c r="E190">
        <v>0.08</v>
      </c>
      <c r="F190">
        <v>0.17</v>
      </c>
      <c r="G190">
        <v>6</v>
      </c>
      <c r="H190">
        <v>64</v>
      </c>
      <c r="I190">
        <v>13</v>
      </c>
      <c r="J190">
        <v>5</v>
      </c>
      <c r="K190" t="s">
        <v>23</v>
      </c>
      <c r="L190" t="s">
        <v>24</v>
      </c>
      <c r="M190">
        <v>1</v>
      </c>
    </row>
    <row r="191" spans="1:13" x14ac:dyDescent="0.35">
      <c r="A191">
        <v>8586</v>
      </c>
      <c r="B191" t="s">
        <v>25</v>
      </c>
      <c r="C191" t="s">
        <v>32</v>
      </c>
      <c r="D191">
        <v>9096.17</v>
      </c>
      <c r="E191">
        <v>0.06</v>
      </c>
      <c r="F191">
        <v>0.17</v>
      </c>
      <c r="G191">
        <v>21</v>
      </c>
      <c r="H191">
        <v>29</v>
      </c>
      <c r="I191">
        <v>6</v>
      </c>
      <c r="J191">
        <v>0</v>
      </c>
      <c r="K191" t="s">
        <v>23</v>
      </c>
      <c r="L191" t="s">
        <v>24</v>
      </c>
      <c r="M191">
        <v>1</v>
      </c>
    </row>
    <row r="192" spans="1:13" x14ac:dyDescent="0.35">
      <c r="A192">
        <v>8589</v>
      </c>
      <c r="B192" t="s">
        <v>22</v>
      </c>
      <c r="C192" t="s">
        <v>19</v>
      </c>
      <c r="D192">
        <v>5018.95</v>
      </c>
      <c r="E192">
        <v>0.06</v>
      </c>
      <c r="F192">
        <v>0.19</v>
      </c>
      <c r="G192">
        <v>19</v>
      </c>
      <c r="H192">
        <v>31</v>
      </c>
      <c r="I192">
        <v>4</v>
      </c>
      <c r="J192">
        <v>4</v>
      </c>
      <c r="K192" t="s">
        <v>23</v>
      </c>
      <c r="L192" t="s">
        <v>24</v>
      </c>
      <c r="M192">
        <v>1</v>
      </c>
    </row>
    <row r="193" spans="1:13" x14ac:dyDescent="0.35">
      <c r="A193">
        <v>8593</v>
      </c>
      <c r="B193" t="s">
        <v>28</v>
      </c>
      <c r="C193" t="s">
        <v>26</v>
      </c>
      <c r="D193">
        <v>5220.51</v>
      </c>
      <c r="E193">
        <v>0.28999999999999998</v>
      </c>
      <c r="F193">
        <v>0.1</v>
      </c>
      <c r="G193">
        <v>2</v>
      </c>
      <c r="H193">
        <v>4</v>
      </c>
      <c r="I193">
        <v>7</v>
      </c>
      <c r="J193">
        <v>6</v>
      </c>
      <c r="K193" t="s">
        <v>23</v>
      </c>
      <c r="L193" t="s">
        <v>24</v>
      </c>
      <c r="M193">
        <v>1</v>
      </c>
    </row>
    <row r="194" spans="1:13" x14ac:dyDescent="0.35">
      <c r="A194">
        <v>8594</v>
      </c>
      <c r="B194" t="s">
        <v>29</v>
      </c>
      <c r="C194" t="s">
        <v>26</v>
      </c>
      <c r="D194">
        <v>2161.0300000000002</v>
      </c>
      <c r="E194">
        <v>0.24</v>
      </c>
      <c r="F194">
        <v>0.11</v>
      </c>
      <c r="G194">
        <v>49</v>
      </c>
      <c r="H194">
        <v>98</v>
      </c>
      <c r="I194">
        <v>6</v>
      </c>
      <c r="J194">
        <v>2</v>
      </c>
      <c r="K194" t="s">
        <v>23</v>
      </c>
      <c r="L194" t="s">
        <v>24</v>
      </c>
      <c r="M194">
        <v>1</v>
      </c>
    </row>
    <row r="195" spans="1:13" x14ac:dyDescent="0.35">
      <c r="A195">
        <v>8596</v>
      </c>
      <c r="B195" t="s">
        <v>22</v>
      </c>
      <c r="C195" t="s">
        <v>26</v>
      </c>
      <c r="D195">
        <v>3058.74</v>
      </c>
      <c r="E195">
        <v>0.01</v>
      </c>
      <c r="F195">
        <v>0.18</v>
      </c>
      <c r="G195">
        <v>26</v>
      </c>
      <c r="H195">
        <v>95</v>
      </c>
      <c r="I195">
        <v>2</v>
      </c>
      <c r="J195">
        <v>8</v>
      </c>
      <c r="K195" t="s">
        <v>23</v>
      </c>
      <c r="L195" t="s">
        <v>24</v>
      </c>
      <c r="M195">
        <v>1</v>
      </c>
    </row>
    <row r="196" spans="1:13" x14ac:dyDescent="0.35">
      <c r="A196">
        <v>8597</v>
      </c>
      <c r="B196" t="s">
        <v>28</v>
      </c>
      <c r="C196" t="s">
        <v>19</v>
      </c>
      <c r="D196">
        <v>5846.06</v>
      </c>
      <c r="E196">
        <v>0.04</v>
      </c>
      <c r="F196">
        <v>0.14000000000000001</v>
      </c>
      <c r="G196">
        <v>3</v>
      </c>
      <c r="H196">
        <v>58</v>
      </c>
      <c r="I196">
        <v>17</v>
      </c>
      <c r="J196">
        <v>1</v>
      </c>
      <c r="K196" t="s">
        <v>23</v>
      </c>
      <c r="L196" t="s">
        <v>24</v>
      </c>
      <c r="M196">
        <v>1</v>
      </c>
    </row>
    <row r="197" spans="1:13" x14ac:dyDescent="0.35">
      <c r="A197">
        <v>8598</v>
      </c>
      <c r="B197" t="s">
        <v>28</v>
      </c>
      <c r="C197" t="s">
        <v>26</v>
      </c>
      <c r="D197">
        <v>2788.07</v>
      </c>
      <c r="E197">
        <v>0.17</v>
      </c>
      <c r="F197">
        <v>0.13</v>
      </c>
      <c r="G197">
        <v>2</v>
      </c>
      <c r="H197">
        <v>22</v>
      </c>
      <c r="I197">
        <v>14</v>
      </c>
      <c r="J197">
        <v>8</v>
      </c>
      <c r="K197" t="s">
        <v>23</v>
      </c>
      <c r="L197" t="s">
        <v>24</v>
      </c>
      <c r="M197">
        <v>1</v>
      </c>
    </row>
    <row r="198" spans="1:13" x14ac:dyDescent="0.35">
      <c r="A198">
        <v>8599</v>
      </c>
      <c r="B198" t="s">
        <v>28</v>
      </c>
      <c r="C198" t="s">
        <v>26</v>
      </c>
      <c r="D198">
        <v>4309.16</v>
      </c>
      <c r="E198">
        <v>0.28999999999999998</v>
      </c>
      <c r="F198">
        <v>0.19</v>
      </c>
      <c r="G198">
        <v>26</v>
      </c>
      <c r="H198">
        <v>7</v>
      </c>
      <c r="I198">
        <v>14</v>
      </c>
      <c r="J198">
        <v>2</v>
      </c>
      <c r="K198" t="s">
        <v>23</v>
      </c>
      <c r="L198" t="s">
        <v>24</v>
      </c>
      <c r="M198">
        <v>1</v>
      </c>
    </row>
    <row r="199" spans="1:13" x14ac:dyDescent="0.35">
      <c r="A199">
        <v>8612</v>
      </c>
      <c r="B199" t="s">
        <v>31</v>
      </c>
      <c r="C199" t="s">
        <v>26</v>
      </c>
      <c r="D199">
        <v>7895.05</v>
      </c>
      <c r="E199">
        <v>0.28999999999999998</v>
      </c>
      <c r="F199">
        <v>0.1</v>
      </c>
      <c r="G199">
        <v>30</v>
      </c>
      <c r="H199">
        <v>32</v>
      </c>
      <c r="I199">
        <v>7</v>
      </c>
      <c r="J199">
        <v>0</v>
      </c>
      <c r="K199" t="s">
        <v>23</v>
      </c>
      <c r="L199" t="s">
        <v>24</v>
      </c>
      <c r="M199">
        <v>1</v>
      </c>
    </row>
    <row r="200" spans="1:13" x14ac:dyDescent="0.35">
      <c r="A200">
        <v>8616</v>
      </c>
      <c r="B200" t="s">
        <v>22</v>
      </c>
      <c r="C200" t="s">
        <v>32</v>
      </c>
      <c r="D200">
        <v>8290.5400000000009</v>
      </c>
      <c r="E200">
        <v>0.14000000000000001</v>
      </c>
      <c r="F200">
        <v>0.02</v>
      </c>
      <c r="G200">
        <v>20</v>
      </c>
      <c r="H200">
        <v>98</v>
      </c>
      <c r="I200">
        <v>11</v>
      </c>
      <c r="J200">
        <v>2</v>
      </c>
      <c r="K200" t="s">
        <v>23</v>
      </c>
      <c r="L200" t="s">
        <v>24</v>
      </c>
      <c r="M200">
        <v>1</v>
      </c>
    </row>
    <row r="201" spans="1:13" x14ac:dyDescent="0.35">
      <c r="A201">
        <v>8617</v>
      </c>
      <c r="B201" t="s">
        <v>22</v>
      </c>
      <c r="C201" t="s">
        <v>30</v>
      </c>
      <c r="D201">
        <v>9064.65</v>
      </c>
      <c r="E201">
        <v>0.02</v>
      </c>
      <c r="F201">
        <v>0.16</v>
      </c>
      <c r="G201">
        <v>45</v>
      </c>
      <c r="H201">
        <v>27</v>
      </c>
      <c r="I201">
        <v>17</v>
      </c>
      <c r="J201">
        <v>3</v>
      </c>
      <c r="K201" t="s">
        <v>23</v>
      </c>
      <c r="L201" t="s">
        <v>24</v>
      </c>
      <c r="M201">
        <v>1</v>
      </c>
    </row>
    <row r="202" spans="1:13" x14ac:dyDescent="0.35">
      <c r="A202">
        <v>8619</v>
      </c>
      <c r="B202" t="s">
        <v>31</v>
      </c>
      <c r="C202" t="s">
        <v>30</v>
      </c>
      <c r="D202">
        <v>3206.78</v>
      </c>
      <c r="E202">
        <v>0.28000000000000003</v>
      </c>
      <c r="F202">
        <v>0.11</v>
      </c>
      <c r="G202">
        <v>0</v>
      </c>
      <c r="H202">
        <v>74</v>
      </c>
      <c r="I202">
        <v>15</v>
      </c>
      <c r="J202">
        <v>2</v>
      </c>
      <c r="K202" t="s">
        <v>23</v>
      </c>
      <c r="L202" t="s">
        <v>24</v>
      </c>
      <c r="M202">
        <v>1</v>
      </c>
    </row>
    <row r="203" spans="1:13" x14ac:dyDescent="0.35">
      <c r="A203">
        <v>8623</v>
      </c>
      <c r="B203" t="s">
        <v>22</v>
      </c>
      <c r="C203" t="s">
        <v>19</v>
      </c>
      <c r="D203">
        <v>7939.09</v>
      </c>
      <c r="E203">
        <v>0.23</v>
      </c>
      <c r="F203">
        <v>0.09</v>
      </c>
      <c r="G203">
        <v>35</v>
      </c>
      <c r="H203">
        <v>22</v>
      </c>
      <c r="I203">
        <v>5</v>
      </c>
      <c r="J203">
        <v>0</v>
      </c>
      <c r="K203" t="s">
        <v>23</v>
      </c>
      <c r="L203" t="s">
        <v>24</v>
      </c>
      <c r="M203">
        <v>1</v>
      </c>
    </row>
    <row r="204" spans="1:13" x14ac:dyDescent="0.35">
      <c r="A204">
        <v>8627</v>
      </c>
      <c r="B204" t="s">
        <v>25</v>
      </c>
      <c r="C204" t="s">
        <v>19</v>
      </c>
      <c r="D204">
        <v>5705.5</v>
      </c>
      <c r="E204">
        <v>0.19</v>
      </c>
      <c r="F204">
        <v>7.0000000000000007E-2</v>
      </c>
      <c r="G204">
        <v>40</v>
      </c>
      <c r="H204">
        <v>40</v>
      </c>
      <c r="I204">
        <v>7</v>
      </c>
      <c r="J204">
        <v>6</v>
      </c>
      <c r="K204" t="s">
        <v>23</v>
      </c>
      <c r="L204" t="s">
        <v>24</v>
      </c>
      <c r="M204">
        <v>1</v>
      </c>
    </row>
    <row r="205" spans="1:13" x14ac:dyDescent="0.35">
      <c r="A205">
        <v>8631</v>
      </c>
      <c r="B205" t="s">
        <v>28</v>
      </c>
      <c r="C205" t="s">
        <v>32</v>
      </c>
      <c r="D205">
        <v>3182.09</v>
      </c>
      <c r="E205">
        <v>0.27</v>
      </c>
      <c r="F205">
        <v>0.1</v>
      </c>
      <c r="G205">
        <v>11</v>
      </c>
      <c r="H205">
        <v>0</v>
      </c>
      <c r="I205">
        <v>10</v>
      </c>
      <c r="J205">
        <v>1</v>
      </c>
      <c r="K205" t="s">
        <v>23</v>
      </c>
      <c r="L205" t="s">
        <v>24</v>
      </c>
      <c r="M205">
        <v>1</v>
      </c>
    </row>
    <row r="206" spans="1:13" x14ac:dyDescent="0.35">
      <c r="A206">
        <v>8638</v>
      </c>
      <c r="B206" t="s">
        <v>31</v>
      </c>
      <c r="C206" t="s">
        <v>32</v>
      </c>
      <c r="D206">
        <v>2900.43</v>
      </c>
      <c r="E206">
        <v>0.22</v>
      </c>
      <c r="F206">
        <v>0.02</v>
      </c>
      <c r="G206">
        <v>32</v>
      </c>
      <c r="H206">
        <v>42</v>
      </c>
      <c r="I206">
        <v>1</v>
      </c>
      <c r="J206">
        <v>3</v>
      </c>
      <c r="K206" t="s">
        <v>23</v>
      </c>
      <c r="L206" t="s">
        <v>24</v>
      </c>
      <c r="M206">
        <v>0</v>
      </c>
    </row>
    <row r="207" spans="1:13" x14ac:dyDescent="0.35">
      <c r="A207">
        <v>8643</v>
      </c>
      <c r="B207" t="s">
        <v>31</v>
      </c>
      <c r="C207" t="s">
        <v>30</v>
      </c>
      <c r="D207">
        <v>6576.04</v>
      </c>
      <c r="E207">
        <v>0.01</v>
      </c>
      <c r="F207">
        <v>0.15</v>
      </c>
      <c r="G207">
        <v>29</v>
      </c>
      <c r="H207">
        <v>25</v>
      </c>
      <c r="I207">
        <v>17</v>
      </c>
      <c r="J207">
        <v>7</v>
      </c>
      <c r="K207" t="s">
        <v>23</v>
      </c>
      <c r="L207" t="s">
        <v>24</v>
      </c>
      <c r="M207">
        <v>1</v>
      </c>
    </row>
    <row r="208" spans="1:13" x14ac:dyDescent="0.35">
      <c r="A208">
        <v>8644</v>
      </c>
      <c r="B208" t="s">
        <v>29</v>
      </c>
      <c r="C208" t="s">
        <v>32</v>
      </c>
      <c r="D208">
        <v>7022.07</v>
      </c>
      <c r="E208">
        <v>0.1</v>
      </c>
      <c r="F208">
        <v>0.17</v>
      </c>
      <c r="G208">
        <v>27</v>
      </c>
      <c r="H208">
        <v>17</v>
      </c>
      <c r="I208">
        <v>16</v>
      </c>
      <c r="J208">
        <v>5</v>
      </c>
      <c r="K208" t="s">
        <v>23</v>
      </c>
      <c r="L208" t="s">
        <v>24</v>
      </c>
      <c r="M208">
        <v>1</v>
      </c>
    </row>
    <row r="209" spans="1:13" x14ac:dyDescent="0.35">
      <c r="A209">
        <v>8646</v>
      </c>
      <c r="B209" t="s">
        <v>31</v>
      </c>
      <c r="C209" t="s">
        <v>26</v>
      </c>
      <c r="D209">
        <v>4801.7</v>
      </c>
      <c r="E209">
        <v>0.17</v>
      </c>
      <c r="F209">
        <v>7.0000000000000007E-2</v>
      </c>
      <c r="G209">
        <v>11</v>
      </c>
      <c r="H209">
        <v>74</v>
      </c>
      <c r="I209">
        <v>5</v>
      </c>
      <c r="J209">
        <v>3</v>
      </c>
      <c r="K209" t="s">
        <v>23</v>
      </c>
      <c r="L209" t="s">
        <v>24</v>
      </c>
      <c r="M209">
        <v>1</v>
      </c>
    </row>
    <row r="210" spans="1:13" x14ac:dyDescent="0.35">
      <c r="A210">
        <v>8647</v>
      </c>
      <c r="B210" t="s">
        <v>28</v>
      </c>
      <c r="C210" t="s">
        <v>26</v>
      </c>
      <c r="D210">
        <v>4097.29</v>
      </c>
      <c r="E210">
        <v>0.24</v>
      </c>
      <c r="F210">
        <v>7.0000000000000007E-2</v>
      </c>
      <c r="G210">
        <v>43</v>
      </c>
      <c r="H210">
        <v>65</v>
      </c>
      <c r="I210">
        <v>17</v>
      </c>
      <c r="J210">
        <v>6</v>
      </c>
      <c r="K210" t="s">
        <v>23</v>
      </c>
      <c r="L210" t="s">
        <v>24</v>
      </c>
      <c r="M210">
        <v>1</v>
      </c>
    </row>
    <row r="211" spans="1:13" x14ac:dyDescent="0.35">
      <c r="A211">
        <v>8653</v>
      </c>
      <c r="B211" t="s">
        <v>28</v>
      </c>
      <c r="C211" t="s">
        <v>26</v>
      </c>
      <c r="D211">
        <v>7003.89</v>
      </c>
      <c r="E211">
        <v>0.12</v>
      </c>
      <c r="F211">
        <v>7.0000000000000007E-2</v>
      </c>
      <c r="G211">
        <v>13</v>
      </c>
      <c r="H211">
        <v>14</v>
      </c>
      <c r="I211">
        <v>2</v>
      </c>
      <c r="J211">
        <v>2</v>
      </c>
      <c r="K211" t="s">
        <v>23</v>
      </c>
      <c r="L211" t="s">
        <v>24</v>
      </c>
      <c r="M211">
        <v>1</v>
      </c>
    </row>
    <row r="212" spans="1:13" x14ac:dyDescent="0.35">
      <c r="A212">
        <v>8657</v>
      </c>
      <c r="B212" t="s">
        <v>28</v>
      </c>
      <c r="C212" t="s">
        <v>32</v>
      </c>
      <c r="D212">
        <v>4606.12</v>
      </c>
      <c r="E212">
        <v>0.28999999999999998</v>
      </c>
      <c r="F212">
        <v>0.01</v>
      </c>
      <c r="G212">
        <v>7</v>
      </c>
      <c r="H212">
        <v>26</v>
      </c>
      <c r="I212">
        <v>12</v>
      </c>
      <c r="J212">
        <v>6</v>
      </c>
      <c r="K212" t="s">
        <v>23</v>
      </c>
      <c r="L212" t="s">
        <v>24</v>
      </c>
      <c r="M212">
        <v>1</v>
      </c>
    </row>
    <row r="213" spans="1:13" x14ac:dyDescent="0.35">
      <c r="A213">
        <v>8662</v>
      </c>
      <c r="B213" t="s">
        <v>22</v>
      </c>
      <c r="C213" t="s">
        <v>19</v>
      </c>
      <c r="D213">
        <v>9004.83</v>
      </c>
      <c r="E213">
        <v>0.1</v>
      </c>
      <c r="F213">
        <v>0.18</v>
      </c>
      <c r="G213">
        <v>40</v>
      </c>
      <c r="H213">
        <v>49</v>
      </c>
      <c r="I213">
        <v>1</v>
      </c>
      <c r="J213">
        <v>1</v>
      </c>
      <c r="K213" t="s">
        <v>23</v>
      </c>
      <c r="L213" t="s">
        <v>24</v>
      </c>
      <c r="M213">
        <v>1</v>
      </c>
    </row>
    <row r="214" spans="1:13" x14ac:dyDescent="0.35">
      <c r="A214">
        <v>8664</v>
      </c>
      <c r="B214" t="s">
        <v>29</v>
      </c>
      <c r="C214" t="s">
        <v>32</v>
      </c>
      <c r="D214">
        <v>4857.08</v>
      </c>
      <c r="E214">
        <v>0.06</v>
      </c>
      <c r="F214">
        <v>0.2</v>
      </c>
      <c r="G214">
        <v>7</v>
      </c>
      <c r="H214">
        <v>23</v>
      </c>
      <c r="I214">
        <v>14</v>
      </c>
      <c r="J214">
        <v>4</v>
      </c>
      <c r="K214" t="s">
        <v>23</v>
      </c>
      <c r="L214" t="s">
        <v>24</v>
      </c>
      <c r="M214">
        <v>1</v>
      </c>
    </row>
    <row r="215" spans="1:13" x14ac:dyDescent="0.35">
      <c r="A215">
        <v>8665</v>
      </c>
      <c r="B215" t="s">
        <v>25</v>
      </c>
      <c r="C215" t="s">
        <v>32</v>
      </c>
      <c r="D215">
        <v>9054.59</v>
      </c>
      <c r="E215">
        <v>0.26</v>
      </c>
      <c r="F215">
        <v>0.11</v>
      </c>
      <c r="G215">
        <v>25</v>
      </c>
      <c r="H215">
        <v>33</v>
      </c>
      <c r="I215">
        <v>3</v>
      </c>
      <c r="J215">
        <v>7</v>
      </c>
      <c r="K215" t="s">
        <v>23</v>
      </c>
      <c r="L215" t="s">
        <v>24</v>
      </c>
      <c r="M215">
        <v>1</v>
      </c>
    </row>
    <row r="216" spans="1:13" x14ac:dyDescent="0.35">
      <c r="A216">
        <v>8666</v>
      </c>
      <c r="B216" t="s">
        <v>31</v>
      </c>
      <c r="C216" t="s">
        <v>26</v>
      </c>
      <c r="D216">
        <v>8042.21</v>
      </c>
      <c r="E216">
        <v>0.13</v>
      </c>
      <c r="F216">
        <v>0.19</v>
      </c>
      <c r="G216">
        <v>4</v>
      </c>
      <c r="H216">
        <v>90</v>
      </c>
      <c r="I216">
        <v>10</v>
      </c>
      <c r="J216">
        <v>4</v>
      </c>
      <c r="K216" t="s">
        <v>23</v>
      </c>
      <c r="L216" t="s">
        <v>24</v>
      </c>
      <c r="M216">
        <v>1</v>
      </c>
    </row>
    <row r="217" spans="1:13" x14ac:dyDescent="0.35">
      <c r="A217">
        <v>8667</v>
      </c>
      <c r="B217" t="s">
        <v>22</v>
      </c>
      <c r="C217" t="s">
        <v>32</v>
      </c>
      <c r="D217">
        <v>2509.9699999999998</v>
      </c>
      <c r="E217">
        <v>0.28999999999999998</v>
      </c>
      <c r="F217">
        <v>0.05</v>
      </c>
      <c r="G217">
        <v>8</v>
      </c>
      <c r="H217">
        <v>19</v>
      </c>
      <c r="I217">
        <v>6</v>
      </c>
      <c r="J217">
        <v>1</v>
      </c>
      <c r="K217" t="s">
        <v>23</v>
      </c>
      <c r="L217" t="s">
        <v>24</v>
      </c>
      <c r="M217">
        <v>0</v>
      </c>
    </row>
    <row r="218" spans="1:13" x14ac:dyDescent="0.35">
      <c r="A218">
        <v>8674</v>
      </c>
      <c r="B218" t="s">
        <v>25</v>
      </c>
      <c r="C218" t="s">
        <v>32</v>
      </c>
      <c r="D218">
        <v>200.72</v>
      </c>
      <c r="E218">
        <v>0.28000000000000003</v>
      </c>
      <c r="F218">
        <v>0.08</v>
      </c>
      <c r="G218">
        <v>30</v>
      </c>
      <c r="H218">
        <v>49</v>
      </c>
      <c r="I218">
        <v>1</v>
      </c>
      <c r="J218">
        <v>7</v>
      </c>
      <c r="K218" t="s">
        <v>23</v>
      </c>
      <c r="L218" t="s">
        <v>24</v>
      </c>
      <c r="M218">
        <v>1</v>
      </c>
    </row>
    <row r="219" spans="1:13" x14ac:dyDescent="0.35">
      <c r="A219">
        <v>8675</v>
      </c>
      <c r="B219" t="s">
        <v>25</v>
      </c>
      <c r="C219" t="s">
        <v>30</v>
      </c>
      <c r="D219">
        <v>7005.13</v>
      </c>
      <c r="E219">
        <v>0.08</v>
      </c>
      <c r="F219">
        <v>0.03</v>
      </c>
      <c r="G219">
        <v>0</v>
      </c>
      <c r="H219">
        <v>54</v>
      </c>
      <c r="I219">
        <v>6</v>
      </c>
      <c r="J219">
        <v>0</v>
      </c>
      <c r="K219" t="s">
        <v>23</v>
      </c>
      <c r="L219" t="s">
        <v>24</v>
      </c>
      <c r="M219">
        <v>1</v>
      </c>
    </row>
    <row r="220" spans="1:13" x14ac:dyDescent="0.35">
      <c r="A220">
        <v>8678</v>
      </c>
      <c r="B220" t="s">
        <v>25</v>
      </c>
      <c r="C220" t="s">
        <v>30</v>
      </c>
      <c r="D220">
        <v>6106.27</v>
      </c>
      <c r="E220">
        <v>0.1</v>
      </c>
      <c r="F220">
        <v>0.08</v>
      </c>
      <c r="G220">
        <v>46</v>
      </c>
      <c r="H220">
        <v>96</v>
      </c>
      <c r="I220">
        <v>17</v>
      </c>
      <c r="J220">
        <v>7</v>
      </c>
      <c r="K220" t="s">
        <v>23</v>
      </c>
      <c r="L220" t="s">
        <v>24</v>
      </c>
      <c r="M220">
        <v>1</v>
      </c>
    </row>
    <row r="221" spans="1:13" x14ac:dyDescent="0.35">
      <c r="A221">
        <v>8679</v>
      </c>
      <c r="B221" t="s">
        <v>31</v>
      </c>
      <c r="C221" t="s">
        <v>26</v>
      </c>
      <c r="D221">
        <v>4860.24</v>
      </c>
      <c r="E221">
        <v>0.09</v>
      </c>
      <c r="F221">
        <v>0.17</v>
      </c>
      <c r="G221">
        <v>30</v>
      </c>
      <c r="H221">
        <v>9</v>
      </c>
      <c r="I221">
        <v>14</v>
      </c>
      <c r="J221">
        <v>9</v>
      </c>
      <c r="K221" t="s">
        <v>23</v>
      </c>
      <c r="L221" t="s">
        <v>24</v>
      </c>
      <c r="M221">
        <v>1</v>
      </c>
    </row>
    <row r="222" spans="1:13" x14ac:dyDescent="0.35">
      <c r="A222">
        <v>8682</v>
      </c>
      <c r="B222" t="s">
        <v>29</v>
      </c>
      <c r="C222" t="s">
        <v>32</v>
      </c>
      <c r="D222">
        <v>7150.11</v>
      </c>
      <c r="E222">
        <v>0.16</v>
      </c>
      <c r="F222">
        <v>0.06</v>
      </c>
      <c r="G222">
        <v>10</v>
      </c>
      <c r="H222">
        <v>10</v>
      </c>
      <c r="I222">
        <v>16</v>
      </c>
      <c r="J222">
        <v>4</v>
      </c>
      <c r="K222" t="s">
        <v>23</v>
      </c>
      <c r="L222" t="s">
        <v>24</v>
      </c>
      <c r="M222">
        <v>1</v>
      </c>
    </row>
    <row r="223" spans="1:13" x14ac:dyDescent="0.35">
      <c r="A223">
        <v>8686</v>
      </c>
      <c r="B223" t="s">
        <v>29</v>
      </c>
      <c r="C223" t="s">
        <v>30</v>
      </c>
      <c r="D223">
        <v>201.36</v>
      </c>
      <c r="E223">
        <v>0.16</v>
      </c>
      <c r="F223">
        <v>0.19</v>
      </c>
      <c r="G223">
        <v>29</v>
      </c>
      <c r="H223">
        <v>19</v>
      </c>
      <c r="I223">
        <v>4</v>
      </c>
      <c r="J223">
        <v>8</v>
      </c>
      <c r="K223" t="s">
        <v>23</v>
      </c>
      <c r="L223" t="s">
        <v>24</v>
      </c>
      <c r="M223">
        <v>1</v>
      </c>
    </row>
    <row r="224" spans="1:13" x14ac:dyDescent="0.35">
      <c r="A224">
        <v>8688</v>
      </c>
      <c r="B224" t="s">
        <v>28</v>
      </c>
      <c r="C224" t="s">
        <v>26</v>
      </c>
      <c r="D224">
        <v>1972.01</v>
      </c>
      <c r="E224">
        <v>0.02</v>
      </c>
      <c r="F224">
        <v>0.03</v>
      </c>
      <c r="G224">
        <v>46</v>
      </c>
      <c r="H224">
        <v>78</v>
      </c>
      <c r="I224">
        <v>11</v>
      </c>
      <c r="J224">
        <v>2</v>
      </c>
      <c r="K224" t="s">
        <v>23</v>
      </c>
      <c r="L224" t="s">
        <v>24</v>
      </c>
      <c r="M224">
        <v>0</v>
      </c>
    </row>
    <row r="225" spans="1:13" x14ac:dyDescent="0.35">
      <c r="A225">
        <v>8697</v>
      </c>
      <c r="B225" t="s">
        <v>29</v>
      </c>
      <c r="C225" t="s">
        <v>26</v>
      </c>
      <c r="D225">
        <v>6069.91</v>
      </c>
      <c r="E225">
        <v>0.22</v>
      </c>
      <c r="F225">
        <v>0.14000000000000001</v>
      </c>
      <c r="G225">
        <v>43</v>
      </c>
      <c r="H225">
        <v>30</v>
      </c>
      <c r="I225">
        <v>4</v>
      </c>
      <c r="J225">
        <v>1</v>
      </c>
      <c r="K225" t="s">
        <v>23</v>
      </c>
      <c r="L225" t="s">
        <v>24</v>
      </c>
      <c r="M225">
        <v>1</v>
      </c>
    </row>
    <row r="226" spans="1:13" x14ac:dyDescent="0.35">
      <c r="A226">
        <v>8698</v>
      </c>
      <c r="B226" t="s">
        <v>28</v>
      </c>
      <c r="C226" t="s">
        <v>19</v>
      </c>
      <c r="D226">
        <v>8266.06</v>
      </c>
      <c r="E226">
        <v>0.13</v>
      </c>
      <c r="F226">
        <v>0.08</v>
      </c>
      <c r="G226">
        <v>25</v>
      </c>
      <c r="H226">
        <v>50</v>
      </c>
      <c r="I226">
        <v>18</v>
      </c>
      <c r="J226">
        <v>0</v>
      </c>
      <c r="K226" t="s">
        <v>23</v>
      </c>
      <c r="L226" t="s">
        <v>24</v>
      </c>
      <c r="M226">
        <v>1</v>
      </c>
    </row>
    <row r="227" spans="1:13" x14ac:dyDescent="0.35">
      <c r="A227">
        <v>8699</v>
      </c>
      <c r="B227" t="s">
        <v>31</v>
      </c>
      <c r="C227" t="s">
        <v>19</v>
      </c>
      <c r="D227">
        <v>1032.82</v>
      </c>
      <c r="E227">
        <v>0.17</v>
      </c>
      <c r="F227">
        <v>0.04</v>
      </c>
      <c r="G227">
        <v>41</v>
      </c>
      <c r="H227">
        <v>82</v>
      </c>
      <c r="I227">
        <v>10</v>
      </c>
      <c r="J227">
        <v>9</v>
      </c>
      <c r="K227" t="s">
        <v>23</v>
      </c>
      <c r="L227" t="s">
        <v>24</v>
      </c>
      <c r="M227">
        <v>1</v>
      </c>
    </row>
    <row r="228" spans="1:13" x14ac:dyDescent="0.35">
      <c r="A228">
        <v>8703</v>
      </c>
      <c r="B228" t="s">
        <v>28</v>
      </c>
      <c r="C228" t="s">
        <v>26</v>
      </c>
      <c r="D228">
        <v>5501.98</v>
      </c>
      <c r="E228">
        <v>0.24</v>
      </c>
      <c r="F228">
        <v>0.13</v>
      </c>
      <c r="G228">
        <v>45</v>
      </c>
      <c r="H228">
        <v>76</v>
      </c>
      <c r="I228">
        <v>14</v>
      </c>
      <c r="J228">
        <v>3</v>
      </c>
      <c r="K228" t="s">
        <v>23</v>
      </c>
      <c r="L228" t="s">
        <v>24</v>
      </c>
      <c r="M228">
        <v>1</v>
      </c>
    </row>
    <row r="229" spans="1:13" x14ac:dyDescent="0.35">
      <c r="A229">
        <v>8704</v>
      </c>
      <c r="B229" t="s">
        <v>28</v>
      </c>
      <c r="C229" t="s">
        <v>19</v>
      </c>
      <c r="D229">
        <v>2340</v>
      </c>
      <c r="E229">
        <v>0.04</v>
      </c>
      <c r="F229">
        <v>0.15</v>
      </c>
      <c r="G229">
        <v>34</v>
      </c>
      <c r="H229">
        <v>37</v>
      </c>
      <c r="I229">
        <v>3</v>
      </c>
      <c r="J229">
        <v>1</v>
      </c>
      <c r="K229" t="s">
        <v>23</v>
      </c>
      <c r="L229" t="s">
        <v>24</v>
      </c>
      <c r="M229">
        <v>1</v>
      </c>
    </row>
    <row r="230" spans="1:13" x14ac:dyDescent="0.35">
      <c r="A230">
        <v>8707</v>
      </c>
      <c r="B230" t="s">
        <v>29</v>
      </c>
      <c r="C230" t="s">
        <v>30</v>
      </c>
      <c r="D230">
        <v>1076.6600000000001</v>
      </c>
      <c r="E230">
        <v>0.11</v>
      </c>
      <c r="F230">
        <v>0.01</v>
      </c>
      <c r="G230">
        <v>6</v>
      </c>
      <c r="H230">
        <v>10</v>
      </c>
      <c r="I230">
        <v>1</v>
      </c>
      <c r="J230">
        <v>5</v>
      </c>
      <c r="K230" t="s">
        <v>23</v>
      </c>
      <c r="L230" t="s">
        <v>24</v>
      </c>
      <c r="M230">
        <v>0</v>
      </c>
    </row>
    <row r="231" spans="1:13" x14ac:dyDescent="0.35">
      <c r="A231">
        <v>8709</v>
      </c>
      <c r="B231" t="s">
        <v>31</v>
      </c>
      <c r="C231" t="s">
        <v>32</v>
      </c>
      <c r="D231">
        <v>5930.52</v>
      </c>
      <c r="E231">
        <v>0.18</v>
      </c>
      <c r="F231">
        <v>0.19</v>
      </c>
      <c r="G231">
        <v>46</v>
      </c>
      <c r="H231">
        <v>57</v>
      </c>
      <c r="I231">
        <v>18</v>
      </c>
      <c r="J231">
        <v>6</v>
      </c>
      <c r="K231" t="s">
        <v>23</v>
      </c>
      <c r="L231" t="s">
        <v>24</v>
      </c>
      <c r="M231">
        <v>1</v>
      </c>
    </row>
    <row r="232" spans="1:13" x14ac:dyDescent="0.35">
      <c r="A232">
        <v>8714</v>
      </c>
      <c r="B232" t="s">
        <v>31</v>
      </c>
      <c r="C232" t="s">
        <v>19</v>
      </c>
      <c r="D232">
        <v>5040.49</v>
      </c>
      <c r="E232">
        <v>0.18</v>
      </c>
      <c r="F232">
        <v>7.0000000000000007E-2</v>
      </c>
      <c r="G232">
        <v>16</v>
      </c>
      <c r="H232">
        <v>88</v>
      </c>
      <c r="I232">
        <v>7</v>
      </c>
      <c r="J232">
        <v>9</v>
      </c>
      <c r="K232" t="s">
        <v>23</v>
      </c>
      <c r="L232" t="s">
        <v>24</v>
      </c>
      <c r="M232">
        <v>1</v>
      </c>
    </row>
    <row r="233" spans="1:13" x14ac:dyDescent="0.35">
      <c r="A233">
        <v>8723</v>
      </c>
      <c r="B233" t="s">
        <v>22</v>
      </c>
      <c r="C233" t="s">
        <v>26</v>
      </c>
      <c r="D233">
        <v>2915.02</v>
      </c>
      <c r="E233">
        <v>0.09</v>
      </c>
      <c r="F233">
        <v>0.09</v>
      </c>
      <c r="G233">
        <v>37</v>
      </c>
      <c r="H233">
        <v>59</v>
      </c>
      <c r="I233">
        <v>1</v>
      </c>
      <c r="J233">
        <v>4</v>
      </c>
      <c r="K233" t="s">
        <v>23</v>
      </c>
      <c r="L233" t="s">
        <v>24</v>
      </c>
      <c r="M233">
        <v>0</v>
      </c>
    </row>
    <row r="234" spans="1:13" x14ac:dyDescent="0.35">
      <c r="A234">
        <v>8727</v>
      </c>
      <c r="B234" t="s">
        <v>28</v>
      </c>
      <c r="C234" t="s">
        <v>26</v>
      </c>
      <c r="D234">
        <v>1197.03</v>
      </c>
      <c r="E234">
        <v>7.0000000000000007E-2</v>
      </c>
      <c r="F234">
        <v>0.19</v>
      </c>
      <c r="G234">
        <v>39</v>
      </c>
      <c r="H234">
        <v>50</v>
      </c>
      <c r="I234">
        <v>10</v>
      </c>
      <c r="J234">
        <v>0</v>
      </c>
      <c r="K234" t="s">
        <v>23</v>
      </c>
      <c r="L234" t="s">
        <v>24</v>
      </c>
      <c r="M234">
        <v>0</v>
      </c>
    </row>
    <row r="235" spans="1:13" x14ac:dyDescent="0.35">
      <c r="A235">
        <v>8729</v>
      </c>
      <c r="B235" t="s">
        <v>22</v>
      </c>
      <c r="C235" t="s">
        <v>26</v>
      </c>
      <c r="D235">
        <v>8420.17</v>
      </c>
      <c r="E235">
        <v>0.11</v>
      </c>
      <c r="F235">
        <v>0.11</v>
      </c>
      <c r="G235">
        <v>33</v>
      </c>
      <c r="H235">
        <v>56</v>
      </c>
      <c r="I235">
        <v>13</v>
      </c>
      <c r="J235">
        <v>1</v>
      </c>
      <c r="K235" t="s">
        <v>23</v>
      </c>
      <c r="L235" t="s">
        <v>24</v>
      </c>
      <c r="M235">
        <v>1</v>
      </c>
    </row>
    <row r="236" spans="1:13" x14ac:dyDescent="0.35">
      <c r="A236">
        <v>8730</v>
      </c>
      <c r="B236" t="s">
        <v>25</v>
      </c>
      <c r="C236" t="s">
        <v>26</v>
      </c>
      <c r="D236">
        <v>6820.19</v>
      </c>
      <c r="E236">
        <v>0.28999999999999998</v>
      </c>
      <c r="F236">
        <v>0.12</v>
      </c>
      <c r="G236">
        <v>9</v>
      </c>
      <c r="H236">
        <v>83</v>
      </c>
      <c r="I236">
        <v>4</v>
      </c>
      <c r="J236">
        <v>2</v>
      </c>
      <c r="K236" t="s">
        <v>23</v>
      </c>
      <c r="L236" t="s">
        <v>24</v>
      </c>
      <c r="M236">
        <v>1</v>
      </c>
    </row>
    <row r="237" spans="1:13" x14ac:dyDescent="0.35">
      <c r="A237">
        <v>8733</v>
      </c>
      <c r="B237" t="s">
        <v>25</v>
      </c>
      <c r="C237" t="s">
        <v>26</v>
      </c>
      <c r="D237">
        <v>8607.68</v>
      </c>
      <c r="E237">
        <v>0.05</v>
      </c>
      <c r="F237">
        <v>0.19</v>
      </c>
      <c r="G237">
        <v>43</v>
      </c>
      <c r="H237">
        <v>5</v>
      </c>
      <c r="I237">
        <v>4</v>
      </c>
      <c r="J237">
        <v>8</v>
      </c>
      <c r="K237" t="s">
        <v>23</v>
      </c>
      <c r="L237" t="s">
        <v>24</v>
      </c>
      <c r="M237">
        <v>1</v>
      </c>
    </row>
    <row r="238" spans="1:13" x14ac:dyDescent="0.35">
      <c r="A238">
        <v>8734</v>
      </c>
      <c r="B238" t="s">
        <v>28</v>
      </c>
      <c r="C238" t="s">
        <v>32</v>
      </c>
      <c r="D238">
        <v>1307.55</v>
      </c>
      <c r="E238">
        <v>0.03</v>
      </c>
      <c r="F238">
        <v>0.06</v>
      </c>
      <c r="G238">
        <v>9</v>
      </c>
      <c r="H238">
        <v>6</v>
      </c>
      <c r="I238">
        <v>4</v>
      </c>
      <c r="J238">
        <v>3</v>
      </c>
      <c r="K238" t="s">
        <v>23</v>
      </c>
      <c r="L238" t="s">
        <v>24</v>
      </c>
      <c r="M238">
        <v>0</v>
      </c>
    </row>
    <row r="239" spans="1:13" x14ac:dyDescent="0.35">
      <c r="A239">
        <v>8739</v>
      </c>
      <c r="B239" t="s">
        <v>25</v>
      </c>
      <c r="C239" t="s">
        <v>19</v>
      </c>
      <c r="D239">
        <v>5800.55</v>
      </c>
      <c r="E239">
        <v>0.12</v>
      </c>
      <c r="F239">
        <v>0.05</v>
      </c>
      <c r="G239">
        <v>6</v>
      </c>
      <c r="H239">
        <v>97</v>
      </c>
      <c r="I239">
        <v>1</v>
      </c>
      <c r="J239">
        <v>7</v>
      </c>
      <c r="K239" t="s">
        <v>23</v>
      </c>
      <c r="L239" t="s">
        <v>24</v>
      </c>
      <c r="M239">
        <v>1</v>
      </c>
    </row>
    <row r="240" spans="1:13" x14ac:dyDescent="0.35">
      <c r="A240">
        <v>8742</v>
      </c>
      <c r="B240" t="s">
        <v>29</v>
      </c>
      <c r="C240" t="s">
        <v>19</v>
      </c>
      <c r="D240">
        <v>5395.05</v>
      </c>
      <c r="E240">
        <v>0.17</v>
      </c>
      <c r="F240">
        <v>0.18</v>
      </c>
      <c r="G240">
        <v>12</v>
      </c>
      <c r="H240">
        <v>4</v>
      </c>
      <c r="I240">
        <v>9</v>
      </c>
      <c r="J240">
        <v>4</v>
      </c>
      <c r="K240" t="s">
        <v>23</v>
      </c>
      <c r="L240" t="s">
        <v>24</v>
      </c>
      <c r="M240">
        <v>1</v>
      </c>
    </row>
    <row r="241" spans="1:13" x14ac:dyDescent="0.35">
      <c r="A241">
        <v>8746</v>
      </c>
      <c r="B241" t="s">
        <v>31</v>
      </c>
      <c r="C241" t="s">
        <v>32</v>
      </c>
      <c r="D241">
        <v>6244.07</v>
      </c>
      <c r="E241">
        <v>0.16</v>
      </c>
      <c r="F241">
        <v>0.13</v>
      </c>
      <c r="G241">
        <v>46</v>
      </c>
      <c r="H241">
        <v>1</v>
      </c>
      <c r="I241">
        <v>9</v>
      </c>
      <c r="J241">
        <v>3</v>
      </c>
      <c r="K241" t="s">
        <v>23</v>
      </c>
      <c r="L241" t="s">
        <v>24</v>
      </c>
      <c r="M241">
        <v>1</v>
      </c>
    </row>
    <row r="242" spans="1:13" x14ac:dyDescent="0.35">
      <c r="A242">
        <v>8748</v>
      </c>
      <c r="B242" t="s">
        <v>31</v>
      </c>
      <c r="C242" t="s">
        <v>30</v>
      </c>
      <c r="D242">
        <v>4120.01</v>
      </c>
      <c r="E242">
        <v>0.09</v>
      </c>
      <c r="F242">
        <v>0.06</v>
      </c>
      <c r="G242">
        <v>46</v>
      </c>
      <c r="H242">
        <v>9</v>
      </c>
      <c r="I242">
        <v>18</v>
      </c>
      <c r="J242">
        <v>5</v>
      </c>
      <c r="K242" t="s">
        <v>23</v>
      </c>
      <c r="L242" t="s">
        <v>24</v>
      </c>
      <c r="M242">
        <v>1</v>
      </c>
    </row>
    <row r="243" spans="1:13" x14ac:dyDescent="0.35">
      <c r="A243">
        <v>8750</v>
      </c>
      <c r="B243" t="s">
        <v>22</v>
      </c>
      <c r="C243" t="s">
        <v>30</v>
      </c>
      <c r="D243">
        <v>401.22</v>
      </c>
      <c r="E243">
        <v>0.23</v>
      </c>
      <c r="F243">
        <v>0.05</v>
      </c>
      <c r="G243">
        <v>9</v>
      </c>
      <c r="H243">
        <v>50</v>
      </c>
      <c r="I243">
        <v>1</v>
      </c>
      <c r="J243">
        <v>6</v>
      </c>
      <c r="K243" t="s">
        <v>23</v>
      </c>
      <c r="L243" t="s">
        <v>24</v>
      </c>
      <c r="M243">
        <v>1</v>
      </c>
    </row>
    <row r="244" spans="1:13" x14ac:dyDescent="0.35">
      <c r="A244">
        <v>8756</v>
      </c>
      <c r="B244" t="s">
        <v>25</v>
      </c>
      <c r="C244" t="s">
        <v>26</v>
      </c>
      <c r="D244">
        <v>4031.75</v>
      </c>
      <c r="E244">
        <v>0.22</v>
      </c>
      <c r="F244">
        <v>0.08</v>
      </c>
      <c r="G244">
        <v>44</v>
      </c>
      <c r="H244">
        <v>23</v>
      </c>
      <c r="I244">
        <v>0</v>
      </c>
      <c r="J244">
        <v>3</v>
      </c>
      <c r="K244" t="s">
        <v>23</v>
      </c>
      <c r="L244" t="s">
        <v>24</v>
      </c>
      <c r="M244">
        <v>1</v>
      </c>
    </row>
    <row r="245" spans="1:13" x14ac:dyDescent="0.35">
      <c r="A245">
        <v>8758</v>
      </c>
      <c r="B245" t="s">
        <v>29</v>
      </c>
      <c r="C245" t="s">
        <v>32</v>
      </c>
      <c r="D245">
        <v>9347.0300000000007</v>
      </c>
      <c r="E245">
        <v>0.2</v>
      </c>
      <c r="F245">
        <v>0.1</v>
      </c>
      <c r="G245">
        <v>16</v>
      </c>
      <c r="H245">
        <v>55</v>
      </c>
      <c r="I245">
        <v>17</v>
      </c>
      <c r="J245">
        <v>5</v>
      </c>
      <c r="K245" t="s">
        <v>23</v>
      </c>
      <c r="L245" t="s">
        <v>24</v>
      </c>
      <c r="M245">
        <v>1</v>
      </c>
    </row>
    <row r="246" spans="1:13" x14ac:dyDescent="0.35">
      <c r="A246">
        <v>8764</v>
      </c>
      <c r="B246" t="s">
        <v>31</v>
      </c>
      <c r="C246" t="s">
        <v>30</v>
      </c>
      <c r="D246">
        <v>2903.51</v>
      </c>
      <c r="E246">
        <v>0.23</v>
      </c>
      <c r="F246">
        <v>0.01</v>
      </c>
      <c r="G246">
        <v>0</v>
      </c>
      <c r="H246">
        <v>80</v>
      </c>
      <c r="I246">
        <v>14</v>
      </c>
      <c r="J246">
        <v>7</v>
      </c>
      <c r="K246" t="s">
        <v>23</v>
      </c>
      <c r="L246" t="s">
        <v>24</v>
      </c>
      <c r="M246">
        <v>1</v>
      </c>
    </row>
    <row r="247" spans="1:13" x14ac:dyDescent="0.35">
      <c r="A247">
        <v>8765</v>
      </c>
      <c r="B247" t="s">
        <v>28</v>
      </c>
      <c r="C247" t="s">
        <v>26</v>
      </c>
      <c r="D247">
        <v>6035.83</v>
      </c>
      <c r="E247">
        <v>0.13</v>
      </c>
      <c r="F247">
        <v>0.16</v>
      </c>
      <c r="G247">
        <v>31</v>
      </c>
      <c r="H247">
        <v>11</v>
      </c>
      <c r="I247">
        <v>5</v>
      </c>
      <c r="J247">
        <v>0</v>
      </c>
      <c r="K247" t="s">
        <v>23</v>
      </c>
      <c r="L247" t="s">
        <v>24</v>
      </c>
      <c r="M247">
        <v>1</v>
      </c>
    </row>
    <row r="248" spans="1:13" x14ac:dyDescent="0.35">
      <c r="A248">
        <v>8768</v>
      </c>
      <c r="B248" t="s">
        <v>29</v>
      </c>
      <c r="C248" t="s">
        <v>19</v>
      </c>
      <c r="D248">
        <v>8095.47</v>
      </c>
      <c r="E248">
        <v>0.04</v>
      </c>
      <c r="F248">
        <v>0.17</v>
      </c>
      <c r="G248">
        <v>17</v>
      </c>
      <c r="H248">
        <v>71</v>
      </c>
      <c r="I248">
        <v>11</v>
      </c>
      <c r="J248">
        <v>3</v>
      </c>
      <c r="K248" t="s">
        <v>23</v>
      </c>
      <c r="L248" t="s">
        <v>24</v>
      </c>
      <c r="M248">
        <v>1</v>
      </c>
    </row>
    <row r="249" spans="1:13" x14ac:dyDescent="0.35">
      <c r="A249">
        <v>8769</v>
      </c>
      <c r="B249" t="s">
        <v>31</v>
      </c>
      <c r="C249" t="s">
        <v>30</v>
      </c>
      <c r="D249">
        <v>1316.02</v>
      </c>
      <c r="E249">
        <v>0.21</v>
      </c>
      <c r="F249">
        <v>0.13</v>
      </c>
      <c r="G249">
        <v>49</v>
      </c>
      <c r="H249">
        <v>21</v>
      </c>
      <c r="I249">
        <v>9</v>
      </c>
      <c r="J249">
        <v>3</v>
      </c>
      <c r="K249" t="s">
        <v>23</v>
      </c>
      <c r="L249" t="s">
        <v>24</v>
      </c>
      <c r="M249">
        <v>1</v>
      </c>
    </row>
    <row r="250" spans="1:13" x14ac:dyDescent="0.35">
      <c r="A250">
        <v>8774</v>
      </c>
      <c r="B250" t="s">
        <v>31</v>
      </c>
      <c r="C250" t="s">
        <v>32</v>
      </c>
      <c r="D250">
        <v>9970.5300000000007</v>
      </c>
      <c r="E250">
        <v>0.27</v>
      </c>
      <c r="F250">
        <v>0.06</v>
      </c>
      <c r="G250">
        <v>25</v>
      </c>
      <c r="H250">
        <v>27</v>
      </c>
      <c r="I250">
        <v>17</v>
      </c>
      <c r="J250">
        <v>1</v>
      </c>
      <c r="K250" t="s">
        <v>23</v>
      </c>
      <c r="L250" t="s">
        <v>24</v>
      </c>
      <c r="M250">
        <v>1</v>
      </c>
    </row>
    <row r="251" spans="1:13" x14ac:dyDescent="0.35">
      <c r="A251">
        <v>8776</v>
      </c>
      <c r="B251" t="s">
        <v>25</v>
      </c>
      <c r="C251" t="s">
        <v>26</v>
      </c>
      <c r="D251">
        <v>1905.06</v>
      </c>
      <c r="E251">
        <v>0.17</v>
      </c>
      <c r="F251">
        <v>0.13</v>
      </c>
      <c r="G251">
        <v>27</v>
      </c>
      <c r="H251">
        <v>27</v>
      </c>
      <c r="I251">
        <v>8</v>
      </c>
      <c r="J251">
        <v>4</v>
      </c>
      <c r="K251" t="s">
        <v>23</v>
      </c>
      <c r="L251" t="s">
        <v>24</v>
      </c>
      <c r="M251">
        <v>1</v>
      </c>
    </row>
    <row r="252" spans="1:13" x14ac:dyDescent="0.35">
      <c r="A252">
        <v>8795</v>
      </c>
      <c r="B252" t="s">
        <v>22</v>
      </c>
      <c r="C252" t="s">
        <v>30</v>
      </c>
      <c r="D252">
        <v>4908.2299999999996</v>
      </c>
      <c r="E252">
        <v>0.16</v>
      </c>
      <c r="F252">
        <v>0.08</v>
      </c>
      <c r="G252">
        <v>26</v>
      </c>
      <c r="H252">
        <v>34</v>
      </c>
      <c r="I252">
        <v>3</v>
      </c>
      <c r="J252">
        <v>4</v>
      </c>
      <c r="K252" t="s">
        <v>23</v>
      </c>
      <c r="L252" t="s">
        <v>24</v>
      </c>
      <c r="M252">
        <v>1</v>
      </c>
    </row>
    <row r="253" spans="1:13" x14ac:dyDescent="0.35">
      <c r="A253">
        <v>8796</v>
      </c>
      <c r="B253" t="s">
        <v>31</v>
      </c>
      <c r="C253" t="s">
        <v>32</v>
      </c>
      <c r="D253">
        <v>1410.49</v>
      </c>
      <c r="E253">
        <v>0.16</v>
      </c>
      <c r="F253">
        <v>0.19</v>
      </c>
      <c r="G253">
        <v>16</v>
      </c>
      <c r="H253">
        <v>96</v>
      </c>
      <c r="I253">
        <v>8</v>
      </c>
      <c r="J253">
        <v>2</v>
      </c>
      <c r="K253" t="s">
        <v>23</v>
      </c>
      <c r="L253" t="s">
        <v>24</v>
      </c>
      <c r="M253">
        <v>1</v>
      </c>
    </row>
    <row r="254" spans="1:13" x14ac:dyDescent="0.35">
      <c r="A254">
        <v>8801</v>
      </c>
      <c r="B254" t="s">
        <v>25</v>
      </c>
      <c r="C254" t="s">
        <v>32</v>
      </c>
      <c r="D254">
        <v>5044.33</v>
      </c>
      <c r="E254">
        <v>0.3</v>
      </c>
      <c r="F254">
        <v>0.15</v>
      </c>
      <c r="G254">
        <v>43</v>
      </c>
      <c r="H254">
        <v>32</v>
      </c>
      <c r="I254">
        <v>12</v>
      </c>
      <c r="J254">
        <v>7</v>
      </c>
      <c r="K254" t="s">
        <v>23</v>
      </c>
      <c r="L254" t="s">
        <v>24</v>
      </c>
      <c r="M254">
        <v>1</v>
      </c>
    </row>
    <row r="255" spans="1:13" x14ac:dyDescent="0.35">
      <c r="A255">
        <v>8802</v>
      </c>
      <c r="B255" t="s">
        <v>31</v>
      </c>
      <c r="C255" t="s">
        <v>32</v>
      </c>
      <c r="D255">
        <v>8047.38</v>
      </c>
      <c r="E255">
        <v>0.26</v>
      </c>
      <c r="F255">
        <v>0.05</v>
      </c>
      <c r="G255">
        <v>47</v>
      </c>
      <c r="H255">
        <v>94</v>
      </c>
      <c r="I255">
        <v>16</v>
      </c>
      <c r="J255">
        <v>7</v>
      </c>
      <c r="K255" t="s">
        <v>23</v>
      </c>
      <c r="L255" t="s">
        <v>24</v>
      </c>
      <c r="M255">
        <v>1</v>
      </c>
    </row>
    <row r="256" spans="1:13" x14ac:dyDescent="0.35">
      <c r="A256">
        <v>8807</v>
      </c>
      <c r="B256" t="s">
        <v>22</v>
      </c>
      <c r="C256" t="s">
        <v>30</v>
      </c>
      <c r="D256">
        <v>6205.6</v>
      </c>
      <c r="E256">
        <v>0.25</v>
      </c>
      <c r="F256">
        <v>7.0000000000000007E-2</v>
      </c>
      <c r="G256">
        <v>33</v>
      </c>
      <c r="H256">
        <v>99</v>
      </c>
      <c r="I256">
        <v>2</v>
      </c>
      <c r="J256">
        <v>8</v>
      </c>
      <c r="K256" t="s">
        <v>23</v>
      </c>
      <c r="L256" t="s">
        <v>24</v>
      </c>
      <c r="M256">
        <v>1</v>
      </c>
    </row>
    <row r="257" spans="1:13" x14ac:dyDescent="0.35">
      <c r="A257">
        <v>8812</v>
      </c>
      <c r="B257" t="s">
        <v>28</v>
      </c>
      <c r="C257" t="s">
        <v>19</v>
      </c>
      <c r="D257">
        <v>1509.51</v>
      </c>
      <c r="E257">
        <v>0.12</v>
      </c>
      <c r="F257">
        <v>0.11</v>
      </c>
      <c r="G257">
        <v>27</v>
      </c>
      <c r="H257">
        <v>26</v>
      </c>
      <c r="I257">
        <v>13</v>
      </c>
      <c r="J257">
        <v>8</v>
      </c>
      <c r="K257" t="s">
        <v>23</v>
      </c>
      <c r="L257" t="s">
        <v>24</v>
      </c>
      <c r="M257">
        <v>1</v>
      </c>
    </row>
    <row r="258" spans="1:13" x14ac:dyDescent="0.35">
      <c r="A258">
        <v>8814</v>
      </c>
      <c r="B258" t="s">
        <v>28</v>
      </c>
      <c r="C258" t="s">
        <v>30</v>
      </c>
      <c r="D258">
        <v>9860.82</v>
      </c>
      <c r="E258">
        <v>0.22</v>
      </c>
      <c r="F258">
        <v>0.01</v>
      </c>
      <c r="G258">
        <v>47</v>
      </c>
      <c r="H258">
        <v>57</v>
      </c>
      <c r="I258">
        <v>18</v>
      </c>
      <c r="J258">
        <v>9</v>
      </c>
      <c r="K258" t="s">
        <v>23</v>
      </c>
      <c r="L258" t="s">
        <v>24</v>
      </c>
      <c r="M258">
        <v>1</v>
      </c>
    </row>
    <row r="259" spans="1:13" x14ac:dyDescent="0.35">
      <c r="A259">
        <v>8816</v>
      </c>
      <c r="B259" t="s">
        <v>31</v>
      </c>
      <c r="C259" t="s">
        <v>30</v>
      </c>
      <c r="D259">
        <v>6730.02</v>
      </c>
      <c r="E259">
        <v>0.19</v>
      </c>
      <c r="F259">
        <v>0.1</v>
      </c>
      <c r="G259">
        <v>17</v>
      </c>
      <c r="H259">
        <v>3</v>
      </c>
      <c r="I259">
        <v>18</v>
      </c>
      <c r="J259">
        <v>3</v>
      </c>
      <c r="K259" t="s">
        <v>23</v>
      </c>
      <c r="L259" t="s">
        <v>24</v>
      </c>
      <c r="M259">
        <v>1</v>
      </c>
    </row>
    <row r="260" spans="1:13" x14ac:dyDescent="0.35">
      <c r="A260">
        <v>8819</v>
      </c>
      <c r="B260" t="s">
        <v>22</v>
      </c>
      <c r="C260" t="s">
        <v>32</v>
      </c>
      <c r="D260">
        <v>1958.04</v>
      </c>
      <c r="E260">
        <v>0.27</v>
      </c>
      <c r="F260">
        <v>0.04</v>
      </c>
      <c r="G260">
        <v>15</v>
      </c>
      <c r="H260">
        <v>79</v>
      </c>
      <c r="I260">
        <v>10</v>
      </c>
      <c r="J260">
        <v>8</v>
      </c>
      <c r="K260" t="s">
        <v>23</v>
      </c>
      <c r="L260" t="s">
        <v>24</v>
      </c>
      <c r="M260">
        <v>1</v>
      </c>
    </row>
    <row r="261" spans="1:13" x14ac:dyDescent="0.35">
      <c r="A261">
        <v>8820</v>
      </c>
      <c r="B261" t="s">
        <v>31</v>
      </c>
      <c r="C261" t="s">
        <v>30</v>
      </c>
      <c r="D261">
        <v>210.99</v>
      </c>
      <c r="E261">
        <v>0.17</v>
      </c>
      <c r="F261">
        <v>0.08</v>
      </c>
      <c r="G261">
        <v>32</v>
      </c>
      <c r="H261">
        <v>90</v>
      </c>
      <c r="I261">
        <v>0</v>
      </c>
      <c r="J261">
        <v>4</v>
      </c>
      <c r="K261" t="s">
        <v>23</v>
      </c>
      <c r="L261" t="s">
        <v>24</v>
      </c>
      <c r="M261">
        <v>1</v>
      </c>
    </row>
    <row r="262" spans="1:13" x14ac:dyDescent="0.35">
      <c r="A262">
        <v>8822</v>
      </c>
      <c r="B262" t="s">
        <v>29</v>
      </c>
      <c r="C262" t="s">
        <v>19</v>
      </c>
      <c r="D262">
        <v>9004.43</v>
      </c>
      <c r="E262">
        <v>0.14000000000000001</v>
      </c>
      <c r="F262">
        <v>0.02</v>
      </c>
      <c r="G262">
        <v>4</v>
      </c>
      <c r="H262">
        <v>19</v>
      </c>
      <c r="I262">
        <v>7</v>
      </c>
      <c r="J262">
        <v>7</v>
      </c>
      <c r="K262" t="s">
        <v>23</v>
      </c>
      <c r="L262" t="s">
        <v>24</v>
      </c>
      <c r="M262">
        <v>1</v>
      </c>
    </row>
    <row r="263" spans="1:13" x14ac:dyDescent="0.35">
      <c r="A263">
        <v>8823</v>
      </c>
      <c r="B263" t="s">
        <v>29</v>
      </c>
      <c r="C263" t="s">
        <v>30</v>
      </c>
      <c r="D263">
        <v>9039.5</v>
      </c>
      <c r="E263">
        <v>0.16</v>
      </c>
      <c r="F263">
        <v>0.18</v>
      </c>
      <c r="G263">
        <v>46</v>
      </c>
      <c r="H263">
        <v>45</v>
      </c>
      <c r="I263">
        <v>6</v>
      </c>
      <c r="J263">
        <v>7</v>
      </c>
      <c r="K263" t="s">
        <v>23</v>
      </c>
      <c r="L263" t="s">
        <v>24</v>
      </c>
      <c r="M263">
        <v>1</v>
      </c>
    </row>
    <row r="264" spans="1:13" x14ac:dyDescent="0.35">
      <c r="A264">
        <v>8825</v>
      </c>
      <c r="B264" t="s">
        <v>28</v>
      </c>
      <c r="C264" t="s">
        <v>30</v>
      </c>
      <c r="D264">
        <v>2123.09</v>
      </c>
      <c r="E264">
        <v>0.25</v>
      </c>
      <c r="F264">
        <v>0.02</v>
      </c>
      <c r="G264">
        <v>36</v>
      </c>
      <c r="H264">
        <v>0</v>
      </c>
      <c r="I264">
        <v>15</v>
      </c>
      <c r="J264">
        <v>6</v>
      </c>
      <c r="K264" t="s">
        <v>23</v>
      </c>
      <c r="L264" t="s">
        <v>24</v>
      </c>
      <c r="M264">
        <v>1</v>
      </c>
    </row>
    <row r="265" spans="1:13" x14ac:dyDescent="0.35">
      <c r="A265">
        <v>8830</v>
      </c>
      <c r="B265" t="s">
        <v>28</v>
      </c>
      <c r="C265" t="s">
        <v>26</v>
      </c>
      <c r="D265">
        <v>5960.13</v>
      </c>
      <c r="E265">
        <v>0.26</v>
      </c>
      <c r="F265">
        <v>0.17</v>
      </c>
      <c r="G265">
        <v>10</v>
      </c>
      <c r="H265">
        <v>83</v>
      </c>
      <c r="I265">
        <v>3</v>
      </c>
      <c r="J265">
        <v>9</v>
      </c>
      <c r="K265" t="s">
        <v>23</v>
      </c>
      <c r="L265" t="s">
        <v>24</v>
      </c>
      <c r="M265">
        <v>1</v>
      </c>
    </row>
    <row r="266" spans="1:13" x14ac:dyDescent="0.35">
      <c r="A266">
        <v>8831</v>
      </c>
      <c r="B266" t="s">
        <v>28</v>
      </c>
      <c r="C266" t="s">
        <v>30</v>
      </c>
      <c r="D266">
        <v>1052.3800000000001</v>
      </c>
      <c r="E266">
        <v>0.09</v>
      </c>
      <c r="F266">
        <v>0.05</v>
      </c>
      <c r="G266">
        <v>21</v>
      </c>
      <c r="H266">
        <v>79</v>
      </c>
      <c r="I266">
        <v>18</v>
      </c>
      <c r="J266">
        <v>9</v>
      </c>
      <c r="K266" t="s">
        <v>23</v>
      </c>
      <c r="L266" t="s">
        <v>24</v>
      </c>
      <c r="M266">
        <v>0</v>
      </c>
    </row>
    <row r="267" spans="1:13" x14ac:dyDescent="0.35">
      <c r="A267">
        <v>8835</v>
      </c>
      <c r="B267" t="s">
        <v>22</v>
      </c>
      <c r="C267" t="s">
        <v>32</v>
      </c>
      <c r="D267">
        <v>5240.54</v>
      </c>
      <c r="E267">
        <v>0.26</v>
      </c>
      <c r="F267">
        <v>0.15</v>
      </c>
      <c r="G267">
        <v>2</v>
      </c>
      <c r="H267">
        <v>78</v>
      </c>
      <c r="I267">
        <v>12</v>
      </c>
      <c r="J267">
        <v>7</v>
      </c>
      <c r="K267" t="s">
        <v>23</v>
      </c>
      <c r="L267" t="s">
        <v>24</v>
      </c>
      <c r="M267">
        <v>1</v>
      </c>
    </row>
    <row r="268" spans="1:13" x14ac:dyDescent="0.35">
      <c r="A268">
        <v>8836</v>
      </c>
      <c r="B268" t="s">
        <v>28</v>
      </c>
      <c r="C268" t="s">
        <v>30</v>
      </c>
      <c r="D268">
        <v>3026.93</v>
      </c>
      <c r="E268">
        <v>0.02</v>
      </c>
      <c r="F268">
        <v>0.15</v>
      </c>
      <c r="G268">
        <v>41</v>
      </c>
      <c r="H268">
        <v>15</v>
      </c>
      <c r="I268">
        <v>2</v>
      </c>
      <c r="J268">
        <v>5</v>
      </c>
      <c r="K268" t="s">
        <v>23</v>
      </c>
      <c r="L268" t="s">
        <v>24</v>
      </c>
      <c r="M268">
        <v>1</v>
      </c>
    </row>
    <row r="269" spans="1:13" x14ac:dyDescent="0.35">
      <c r="A269">
        <v>8838</v>
      </c>
      <c r="B269" t="s">
        <v>25</v>
      </c>
      <c r="C269" t="s">
        <v>26</v>
      </c>
      <c r="D269">
        <v>5780.81</v>
      </c>
      <c r="E269">
        <v>0.27</v>
      </c>
      <c r="F269">
        <v>0.11</v>
      </c>
      <c r="G269">
        <v>16</v>
      </c>
      <c r="H269">
        <v>24</v>
      </c>
      <c r="I269">
        <v>16</v>
      </c>
      <c r="J269">
        <v>5</v>
      </c>
      <c r="K269" t="s">
        <v>23</v>
      </c>
      <c r="L269" t="s">
        <v>24</v>
      </c>
      <c r="M269">
        <v>1</v>
      </c>
    </row>
    <row r="270" spans="1:13" x14ac:dyDescent="0.35">
      <c r="A270">
        <v>8843</v>
      </c>
      <c r="B270" t="s">
        <v>22</v>
      </c>
      <c r="C270" t="s">
        <v>26</v>
      </c>
      <c r="D270">
        <v>208.19</v>
      </c>
      <c r="E270">
        <v>0.17</v>
      </c>
      <c r="F270">
        <v>0.01</v>
      </c>
      <c r="G270">
        <v>11</v>
      </c>
      <c r="H270">
        <v>28</v>
      </c>
      <c r="I270">
        <v>17</v>
      </c>
      <c r="J270">
        <v>7</v>
      </c>
      <c r="K270" t="s">
        <v>23</v>
      </c>
      <c r="L270" t="s">
        <v>24</v>
      </c>
      <c r="M270">
        <v>1</v>
      </c>
    </row>
    <row r="271" spans="1:13" x14ac:dyDescent="0.35">
      <c r="A271">
        <v>8848</v>
      </c>
      <c r="B271" t="s">
        <v>29</v>
      </c>
      <c r="C271" t="s">
        <v>19</v>
      </c>
      <c r="D271">
        <v>206.81</v>
      </c>
      <c r="E271">
        <v>0.08</v>
      </c>
      <c r="F271">
        <v>0.06</v>
      </c>
      <c r="G271">
        <v>3</v>
      </c>
      <c r="H271">
        <v>62</v>
      </c>
      <c r="I271">
        <v>0</v>
      </c>
      <c r="J271">
        <v>8</v>
      </c>
      <c r="K271" t="s">
        <v>23</v>
      </c>
      <c r="L271" t="s">
        <v>24</v>
      </c>
      <c r="M271">
        <v>1</v>
      </c>
    </row>
    <row r="272" spans="1:13" x14ac:dyDescent="0.35">
      <c r="A272">
        <v>8851</v>
      </c>
      <c r="B272" t="s">
        <v>31</v>
      </c>
      <c r="C272" t="s">
        <v>26</v>
      </c>
      <c r="D272">
        <v>3266.03</v>
      </c>
      <c r="E272">
        <v>0.12</v>
      </c>
      <c r="F272">
        <v>0.2</v>
      </c>
      <c r="G272">
        <v>19</v>
      </c>
      <c r="H272">
        <v>45</v>
      </c>
      <c r="I272">
        <v>2</v>
      </c>
      <c r="J272">
        <v>6</v>
      </c>
      <c r="K272" t="s">
        <v>23</v>
      </c>
      <c r="L272" t="s">
        <v>24</v>
      </c>
      <c r="M272">
        <v>1</v>
      </c>
    </row>
    <row r="273" spans="1:13" x14ac:dyDescent="0.35">
      <c r="A273">
        <v>8857</v>
      </c>
      <c r="B273" t="s">
        <v>31</v>
      </c>
      <c r="C273" t="s">
        <v>19</v>
      </c>
      <c r="D273">
        <v>2216.04</v>
      </c>
      <c r="E273">
        <v>0.27</v>
      </c>
      <c r="F273">
        <v>0.11</v>
      </c>
      <c r="G273">
        <v>14</v>
      </c>
      <c r="H273">
        <v>61</v>
      </c>
      <c r="I273">
        <v>11</v>
      </c>
      <c r="J273">
        <v>4</v>
      </c>
      <c r="K273" t="s">
        <v>23</v>
      </c>
      <c r="L273" t="s">
        <v>24</v>
      </c>
      <c r="M273">
        <v>1</v>
      </c>
    </row>
    <row r="274" spans="1:13" x14ac:dyDescent="0.35">
      <c r="A274">
        <v>8861</v>
      </c>
      <c r="B274" t="s">
        <v>28</v>
      </c>
      <c r="C274" t="s">
        <v>26</v>
      </c>
      <c r="D274">
        <v>6019.38</v>
      </c>
      <c r="E274">
        <v>0.25</v>
      </c>
      <c r="F274">
        <v>0.14000000000000001</v>
      </c>
      <c r="G274">
        <v>5</v>
      </c>
      <c r="H274">
        <v>72</v>
      </c>
      <c r="I274">
        <v>9</v>
      </c>
      <c r="J274">
        <v>9</v>
      </c>
      <c r="K274" t="s">
        <v>23</v>
      </c>
      <c r="L274" t="s">
        <v>24</v>
      </c>
      <c r="M274">
        <v>1</v>
      </c>
    </row>
    <row r="275" spans="1:13" x14ac:dyDescent="0.35">
      <c r="A275">
        <v>8863</v>
      </c>
      <c r="B275" t="s">
        <v>22</v>
      </c>
      <c r="C275" t="s">
        <v>32</v>
      </c>
      <c r="D275">
        <v>4047.62</v>
      </c>
      <c r="E275">
        <v>0.19</v>
      </c>
      <c r="F275">
        <v>0.17</v>
      </c>
      <c r="G275">
        <v>31</v>
      </c>
      <c r="H275">
        <v>44</v>
      </c>
      <c r="I275">
        <v>14</v>
      </c>
      <c r="J275">
        <v>2</v>
      </c>
      <c r="K275" t="s">
        <v>23</v>
      </c>
      <c r="L275" t="s">
        <v>24</v>
      </c>
      <c r="M275">
        <v>0</v>
      </c>
    </row>
    <row r="276" spans="1:13" x14ac:dyDescent="0.35">
      <c r="A276">
        <v>8864</v>
      </c>
      <c r="B276" t="s">
        <v>25</v>
      </c>
      <c r="C276" t="s">
        <v>19</v>
      </c>
      <c r="D276">
        <v>3094.99</v>
      </c>
      <c r="E276">
        <v>0.02</v>
      </c>
      <c r="F276">
        <v>0.04</v>
      </c>
      <c r="G276">
        <v>16</v>
      </c>
      <c r="H276">
        <v>84</v>
      </c>
      <c r="I276">
        <v>15</v>
      </c>
      <c r="J276">
        <v>3</v>
      </c>
      <c r="K276" t="s">
        <v>23</v>
      </c>
      <c r="L276" t="s">
        <v>24</v>
      </c>
      <c r="M276">
        <v>1</v>
      </c>
    </row>
    <row r="277" spans="1:13" x14ac:dyDescent="0.35">
      <c r="A277">
        <v>8866</v>
      </c>
      <c r="B277" t="s">
        <v>28</v>
      </c>
      <c r="C277" t="s">
        <v>19</v>
      </c>
      <c r="D277">
        <v>6084.89</v>
      </c>
      <c r="E277">
        <v>0.27</v>
      </c>
      <c r="F277">
        <v>0.19</v>
      </c>
      <c r="G277">
        <v>38</v>
      </c>
      <c r="H277">
        <v>94</v>
      </c>
      <c r="I277">
        <v>12</v>
      </c>
      <c r="J277">
        <v>6</v>
      </c>
      <c r="K277" t="s">
        <v>23</v>
      </c>
      <c r="L277" t="s">
        <v>24</v>
      </c>
      <c r="M277">
        <v>1</v>
      </c>
    </row>
    <row r="278" spans="1:13" x14ac:dyDescent="0.35">
      <c r="A278">
        <v>8872</v>
      </c>
      <c r="B278" t="s">
        <v>28</v>
      </c>
      <c r="C278" t="s">
        <v>30</v>
      </c>
      <c r="D278">
        <v>5450.99</v>
      </c>
      <c r="E278">
        <v>0.28000000000000003</v>
      </c>
      <c r="F278">
        <v>0.03</v>
      </c>
      <c r="G278">
        <v>45</v>
      </c>
      <c r="H278">
        <v>54</v>
      </c>
      <c r="I278">
        <v>8</v>
      </c>
      <c r="J278">
        <v>0</v>
      </c>
      <c r="K278" t="s">
        <v>23</v>
      </c>
      <c r="L278" t="s">
        <v>24</v>
      </c>
      <c r="M278">
        <v>1</v>
      </c>
    </row>
    <row r="279" spans="1:13" x14ac:dyDescent="0.35">
      <c r="A279">
        <v>8876</v>
      </c>
      <c r="B279" t="s">
        <v>28</v>
      </c>
      <c r="C279" t="s">
        <v>26</v>
      </c>
      <c r="D279">
        <v>1030.3399999999999</v>
      </c>
      <c r="E279">
        <v>0.23</v>
      </c>
      <c r="F279">
        <v>0.12</v>
      </c>
      <c r="G279">
        <v>38</v>
      </c>
      <c r="H279">
        <v>20</v>
      </c>
      <c r="I279">
        <v>9</v>
      </c>
      <c r="J279">
        <v>8</v>
      </c>
      <c r="K279" t="s">
        <v>23</v>
      </c>
      <c r="L279" t="s">
        <v>24</v>
      </c>
      <c r="M279">
        <v>1</v>
      </c>
    </row>
    <row r="280" spans="1:13" x14ac:dyDescent="0.35">
      <c r="A280">
        <v>8883</v>
      </c>
      <c r="B280" t="s">
        <v>28</v>
      </c>
      <c r="C280" t="s">
        <v>32</v>
      </c>
      <c r="D280">
        <v>3809.74</v>
      </c>
      <c r="E280">
        <v>0.27</v>
      </c>
      <c r="F280">
        <v>0.17</v>
      </c>
      <c r="G280">
        <v>1</v>
      </c>
      <c r="H280">
        <v>24</v>
      </c>
      <c r="I280">
        <v>19</v>
      </c>
      <c r="J280">
        <v>3</v>
      </c>
      <c r="K280" t="s">
        <v>23</v>
      </c>
      <c r="L280" t="s">
        <v>24</v>
      </c>
      <c r="M280">
        <v>1</v>
      </c>
    </row>
    <row r="281" spans="1:13" x14ac:dyDescent="0.35">
      <c r="A281">
        <v>8884</v>
      </c>
      <c r="B281" t="s">
        <v>25</v>
      </c>
      <c r="C281" t="s">
        <v>26</v>
      </c>
      <c r="D281">
        <v>3420.89</v>
      </c>
      <c r="E281">
        <v>0.17</v>
      </c>
      <c r="F281">
        <v>0.15</v>
      </c>
      <c r="G281">
        <v>11</v>
      </c>
      <c r="H281">
        <v>81</v>
      </c>
      <c r="I281">
        <v>17</v>
      </c>
      <c r="J281">
        <v>6</v>
      </c>
      <c r="K281" t="s">
        <v>23</v>
      </c>
      <c r="L281" t="s">
        <v>24</v>
      </c>
      <c r="M281">
        <v>1</v>
      </c>
    </row>
    <row r="282" spans="1:13" x14ac:dyDescent="0.35">
      <c r="A282">
        <v>8887</v>
      </c>
      <c r="B282" t="s">
        <v>29</v>
      </c>
      <c r="C282" t="s">
        <v>32</v>
      </c>
      <c r="D282">
        <v>1979.06</v>
      </c>
      <c r="E282">
        <v>0.17</v>
      </c>
      <c r="F282">
        <v>0.08</v>
      </c>
      <c r="G282">
        <v>7</v>
      </c>
      <c r="H282">
        <v>88</v>
      </c>
      <c r="I282">
        <v>7</v>
      </c>
      <c r="J282">
        <v>0</v>
      </c>
      <c r="K282" t="s">
        <v>23</v>
      </c>
      <c r="L282" t="s">
        <v>24</v>
      </c>
      <c r="M282">
        <v>1</v>
      </c>
    </row>
    <row r="283" spans="1:13" x14ac:dyDescent="0.35">
      <c r="A283">
        <v>8889</v>
      </c>
      <c r="B283" t="s">
        <v>22</v>
      </c>
      <c r="C283" t="s">
        <v>32</v>
      </c>
      <c r="D283">
        <v>5401.64</v>
      </c>
      <c r="E283">
        <v>0.12</v>
      </c>
      <c r="F283">
        <v>0.02</v>
      </c>
      <c r="G283">
        <v>23</v>
      </c>
      <c r="H283">
        <v>97</v>
      </c>
      <c r="I283">
        <v>3</v>
      </c>
      <c r="J283">
        <v>2</v>
      </c>
      <c r="K283" t="s">
        <v>23</v>
      </c>
      <c r="L283" t="s">
        <v>24</v>
      </c>
      <c r="M283">
        <v>0</v>
      </c>
    </row>
    <row r="284" spans="1:13" x14ac:dyDescent="0.35">
      <c r="A284">
        <v>8891</v>
      </c>
      <c r="B284" t="s">
        <v>22</v>
      </c>
      <c r="C284" t="s">
        <v>32</v>
      </c>
      <c r="D284">
        <v>1761.02</v>
      </c>
      <c r="E284">
        <v>0.28000000000000003</v>
      </c>
      <c r="F284">
        <v>0.06</v>
      </c>
      <c r="G284">
        <v>24</v>
      </c>
      <c r="H284">
        <v>47</v>
      </c>
      <c r="I284">
        <v>15</v>
      </c>
      <c r="J284">
        <v>3</v>
      </c>
      <c r="K284" t="s">
        <v>23</v>
      </c>
      <c r="L284" t="s">
        <v>24</v>
      </c>
      <c r="M284">
        <v>1</v>
      </c>
    </row>
    <row r="285" spans="1:13" x14ac:dyDescent="0.35">
      <c r="A285">
        <v>8893</v>
      </c>
      <c r="B285" t="s">
        <v>25</v>
      </c>
      <c r="C285" t="s">
        <v>30</v>
      </c>
      <c r="D285">
        <v>4582.03</v>
      </c>
      <c r="E285">
        <v>0.18</v>
      </c>
      <c r="F285">
        <v>0.04</v>
      </c>
      <c r="G285">
        <v>13</v>
      </c>
      <c r="H285">
        <v>2</v>
      </c>
      <c r="I285">
        <v>17</v>
      </c>
      <c r="J285">
        <v>4</v>
      </c>
      <c r="K285" t="s">
        <v>23</v>
      </c>
      <c r="L285" t="s">
        <v>24</v>
      </c>
      <c r="M285">
        <v>1</v>
      </c>
    </row>
    <row r="286" spans="1:13" x14ac:dyDescent="0.35">
      <c r="A286">
        <v>8897</v>
      </c>
      <c r="B286" t="s">
        <v>31</v>
      </c>
      <c r="C286" t="s">
        <v>30</v>
      </c>
      <c r="D286">
        <v>5158.08</v>
      </c>
      <c r="E286">
        <v>7.0000000000000007E-2</v>
      </c>
      <c r="F286">
        <v>0.17</v>
      </c>
      <c r="G286">
        <v>31</v>
      </c>
      <c r="H286">
        <v>19</v>
      </c>
      <c r="I286">
        <v>0</v>
      </c>
      <c r="J286">
        <v>3</v>
      </c>
      <c r="K286" t="s">
        <v>23</v>
      </c>
      <c r="L286" t="s">
        <v>24</v>
      </c>
      <c r="M286">
        <v>1</v>
      </c>
    </row>
    <row r="287" spans="1:13" x14ac:dyDescent="0.35">
      <c r="A287">
        <v>8899</v>
      </c>
      <c r="B287" t="s">
        <v>28</v>
      </c>
      <c r="C287" t="s">
        <v>30</v>
      </c>
      <c r="D287">
        <v>4604.62</v>
      </c>
      <c r="E287">
        <v>0.19</v>
      </c>
      <c r="F287">
        <v>0.08</v>
      </c>
      <c r="G287">
        <v>20</v>
      </c>
      <c r="H287">
        <v>80</v>
      </c>
      <c r="I287">
        <v>0</v>
      </c>
      <c r="J287">
        <v>3</v>
      </c>
      <c r="K287" t="s">
        <v>23</v>
      </c>
      <c r="L287" t="s">
        <v>24</v>
      </c>
      <c r="M287">
        <v>1</v>
      </c>
    </row>
    <row r="288" spans="1:13" x14ac:dyDescent="0.35">
      <c r="A288">
        <v>8903</v>
      </c>
      <c r="B288" t="s">
        <v>25</v>
      </c>
      <c r="C288" t="s">
        <v>19</v>
      </c>
      <c r="D288">
        <v>8908.1299999999992</v>
      </c>
      <c r="E288">
        <v>0.13</v>
      </c>
      <c r="F288">
        <v>0.17</v>
      </c>
      <c r="G288">
        <v>28</v>
      </c>
      <c r="H288">
        <v>97</v>
      </c>
      <c r="I288">
        <v>2</v>
      </c>
      <c r="J288">
        <v>6</v>
      </c>
      <c r="K288" t="s">
        <v>23</v>
      </c>
      <c r="L288" t="s">
        <v>24</v>
      </c>
      <c r="M288">
        <v>1</v>
      </c>
    </row>
    <row r="289" spans="1:13" x14ac:dyDescent="0.35">
      <c r="A289">
        <v>8904</v>
      </c>
      <c r="B289" t="s">
        <v>25</v>
      </c>
      <c r="C289" t="s">
        <v>32</v>
      </c>
      <c r="D289">
        <v>2067.65</v>
      </c>
      <c r="E289">
        <v>0.25</v>
      </c>
      <c r="F289">
        <v>0.1</v>
      </c>
      <c r="G289">
        <v>22</v>
      </c>
      <c r="H289">
        <v>79</v>
      </c>
      <c r="I289">
        <v>17</v>
      </c>
      <c r="J289">
        <v>2</v>
      </c>
      <c r="K289" t="s">
        <v>23</v>
      </c>
      <c r="L289" t="s">
        <v>24</v>
      </c>
      <c r="M289">
        <v>1</v>
      </c>
    </row>
    <row r="290" spans="1:13" x14ac:dyDescent="0.35">
      <c r="A290">
        <v>8906</v>
      </c>
      <c r="B290" t="s">
        <v>22</v>
      </c>
      <c r="C290" t="s">
        <v>30</v>
      </c>
      <c r="D290">
        <v>3560.56</v>
      </c>
      <c r="E290">
        <v>7.0000000000000007E-2</v>
      </c>
      <c r="F290">
        <v>0.13</v>
      </c>
      <c r="G290">
        <v>20</v>
      </c>
      <c r="H290">
        <v>71</v>
      </c>
      <c r="I290">
        <v>5</v>
      </c>
      <c r="J290">
        <v>2</v>
      </c>
      <c r="K290" t="s">
        <v>23</v>
      </c>
      <c r="L290" t="s">
        <v>24</v>
      </c>
      <c r="M290">
        <v>1</v>
      </c>
    </row>
    <row r="291" spans="1:13" x14ac:dyDescent="0.35">
      <c r="A291">
        <v>8910</v>
      </c>
      <c r="B291" t="s">
        <v>25</v>
      </c>
      <c r="C291" t="s">
        <v>26</v>
      </c>
      <c r="D291">
        <v>8461.01</v>
      </c>
      <c r="E291">
        <v>0.17</v>
      </c>
      <c r="F291">
        <v>0.1</v>
      </c>
      <c r="G291">
        <v>34</v>
      </c>
      <c r="H291">
        <v>37</v>
      </c>
      <c r="I291">
        <v>10</v>
      </c>
      <c r="J291">
        <v>3</v>
      </c>
      <c r="K291" t="s">
        <v>23</v>
      </c>
      <c r="L291" t="s">
        <v>24</v>
      </c>
      <c r="M291">
        <v>1</v>
      </c>
    </row>
    <row r="292" spans="1:13" x14ac:dyDescent="0.35">
      <c r="A292">
        <v>8911</v>
      </c>
      <c r="B292" t="s">
        <v>22</v>
      </c>
      <c r="C292" t="s">
        <v>19</v>
      </c>
      <c r="D292">
        <v>2934.07</v>
      </c>
      <c r="E292">
        <v>0.23</v>
      </c>
      <c r="F292">
        <v>0.09</v>
      </c>
      <c r="G292">
        <v>4</v>
      </c>
      <c r="H292">
        <v>63</v>
      </c>
      <c r="I292">
        <v>4</v>
      </c>
      <c r="J292">
        <v>2</v>
      </c>
      <c r="K292" t="s">
        <v>23</v>
      </c>
      <c r="L292" t="s">
        <v>24</v>
      </c>
      <c r="M292">
        <v>0</v>
      </c>
    </row>
    <row r="293" spans="1:13" x14ac:dyDescent="0.35">
      <c r="A293">
        <v>8914</v>
      </c>
      <c r="B293" t="s">
        <v>28</v>
      </c>
      <c r="C293" t="s">
        <v>26</v>
      </c>
      <c r="D293">
        <v>2032.02</v>
      </c>
      <c r="E293">
        <v>0.17</v>
      </c>
      <c r="F293">
        <v>0.15</v>
      </c>
      <c r="G293">
        <v>6</v>
      </c>
      <c r="H293">
        <v>91</v>
      </c>
      <c r="I293">
        <v>0</v>
      </c>
      <c r="J293">
        <v>5</v>
      </c>
      <c r="K293" t="s">
        <v>23</v>
      </c>
      <c r="L293" t="s">
        <v>24</v>
      </c>
      <c r="M293">
        <v>0</v>
      </c>
    </row>
    <row r="294" spans="1:13" x14ac:dyDescent="0.35">
      <c r="A294">
        <v>8916</v>
      </c>
      <c r="B294" t="s">
        <v>31</v>
      </c>
      <c r="C294" t="s">
        <v>26</v>
      </c>
      <c r="D294">
        <v>1034.8399999999999</v>
      </c>
      <c r="E294">
        <v>0.26</v>
      </c>
      <c r="F294">
        <v>7.0000000000000007E-2</v>
      </c>
      <c r="G294">
        <v>16</v>
      </c>
      <c r="H294">
        <v>60</v>
      </c>
      <c r="I294">
        <v>17</v>
      </c>
      <c r="J294">
        <v>3</v>
      </c>
      <c r="K294" t="s">
        <v>23</v>
      </c>
      <c r="L294" t="s">
        <v>24</v>
      </c>
      <c r="M294">
        <v>1</v>
      </c>
    </row>
    <row r="295" spans="1:13" x14ac:dyDescent="0.35">
      <c r="A295">
        <v>8921</v>
      </c>
      <c r="B295" t="s">
        <v>22</v>
      </c>
      <c r="C295" t="s">
        <v>19</v>
      </c>
      <c r="D295">
        <v>4520.92</v>
      </c>
      <c r="E295">
        <v>0.14000000000000001</v>
      </c>
      <c r="F295">
        <v>0.08</v>
      </c>
      <c r="G295">
        <v>15</v>
      </c>
      <c r="H295">
        <v>49</v>
      </c>
      <c r="I295">
        <v>19</v>
      </c>
      <c r="J295">
        <v>2</v>
      </c>
      <c r="K295" t="s">
        <v>23</v>
      </c>
      <c r="L295" t="s">
        <v>24</v>
      </c>
      <c r="M295">
        <v>1</v>
      </c>
    </row>
    <row r="296" spans="1:13" x14ac:dyDescent="0.35">
      <c r="A296">
        <v>8925</v>
      </c>
      <c r="B296" t="s">
        <v>31</v>
      </c>
      <c r="C296" t="s">
        <v>19</v>
      </c>
      <c r="D296">
        <v>1006.39</v>
      </c>
      <c r="E296">
        <v>0.2</v>
      </c>
      <c r="F296">
        <v>0.16</v>
      </c>
      <c r="G296">
        <v>45</v>
      </c>
      <c r="H296">
        <v>10</v>
      </c>
      <c r="I296">
        <v>4</v>
      </c>
      <c r="J296">
        <v>4</v>
      </c>
      <c r="K296" t="s">
        <v>23</v>
      </c>
      <c r="L296" t="s">
        <v>24</v>
      </c>
      <c r="M296">
        <v>1</v>
      </c>
    </row>
    <row r="297" spans="1:13" x14ac:dyDescent="0.35">
      <c r="A297">
        <v>8926</v>
      </c>
      <c r="B297" t="s">
        <v>29</v>
      </c>
      <c r="C297" t="s">
        <v>32</v>
      </c>
      <c r="D297">
        <v>9580.33</v>
      </c>
      <c r="E297">
        <v>0.18</v>
      </c>
      <c r="F297">
        <v>0.11</v>
      </c>
      <c r="G297">
        <v>7</v>
      </c>
      <c r="H297">
        <v>37</v>
      </c>
      <c r="I297">
        <v>11</v>
      </c>
      <c r="J297">
        <v>6</v>
      </c>
      <c r="K297" t="s">
        <v>23</v>
      </c>
      <c r="L297" t="s">
        <v>24</v>
      </c>
      <c r="M297">
        <v>1</v>
      </c>
    </row>
    <row r="298" spans="1:13" x14ac:dyDescent="0.35">
      <c r="A298">
        <v>8927</v>
      </c>
      <c r="B298" t="s">
        <v>28</v>
      </c>
      <c r="C298" t="s">
        <v>19</v>
      </c>
      <c r="D298">
        <v>6689.07</v>
      </c>
      <c r="E298">
        <v>0.18</v>
      </c>
      <c r="F298">
        <v>0.16</v>
      </c>
      <c r="G298">
        <v>28</v>
      </c>
      <c r="H298">
        <v>55</v>
      </c>
      <c r="I298">
        <v>12</v>
      </c>
      <c r="J298">
        <v>8</v>
      </c>
      <c r="K298" t="s">
        <v>23</v>
      </c>
      <c r="L298" t="s">
        <v>24</v>
      </c>
      <c r="M298">
        <v>1</v>
      </c>
    </row>
    <row r="299" spans="1:13" x14ac:dyDescent="0.35">
      <c r="A299">
        <v>8931</v>
      </c>
      <c r="B299" t="s">
        <v>28</v>
      </c>
      <c r="C299" t="s">
        <v>19</v>
      </c>
      <c r="D299">
        <v>6008.32</v>
      </c>
      <c r="E299">
        <v>0.06</v>
      </c>
      <c r="F299">
        <v>0.06</v>
      </c>
      <c r="G299">
        <v>15</v>
      </c>
      <c r="H299">
        <v>69</v>
      </c>
      <c r="I299">
        <v>3</v>
      </c>
      <c r="J299">
        <v>2</v>
      </c>
      <c r="K299" t="s">
        <v>23</v>
      </c>
      <c r="L299" t="s">
        <v>24</v>
      </c>
      <c r="M299">
        <v>1</v>
      </c>
    </row>
    <row r="300" spans="1:13" x14ac:dyDescent="0.35">
      <c r="A300">
        <v>8933</v>
      </c>
      <c r="B300" t="s">
        <v>22</v>
      </c>
      <c r="C300" t="s">
        <v>30</v>
      </c>
      <c r="D300">
        <v>7360.72</v>
      </c>
      <c r="E300">
        <v>0.05</v>
      </c>
      <c r="F300">
        <v>0.19</v>
      </c>
      <c r="G300">
        <v>21</v>
      </c>
      <c r="H300">
        <v>89</v>
      </c>
      <c r="I300">
        <v>17</v>
      </c>
      <c r="J300">
        <v>3</v>
      </c>
      <c r="K300" t="s">
        <v>23</v>
      </c>
      <c r="L300" t="s">
        <v>24</v>
      </c>
      <c r="M300">
        <v>1</v>
      </c>
    </row>
    <row r="301" spans="1:13" x14ac:dyDescent="0.35">
      <c r="A301">
        <v>8938</v>
      </c>
      <c r="B301" t="s">
        <v>25</v>
      </c>
      <c r="C301" t="s">
        <v>32</v>
      </c>
      <c r="D301">
        <v>3890.34</v>
      </c>
      <c r="E301">
        <v>0.2</v>
      </c>
      <c r="F301">
        <v>0.09</v>
      </c>
      <c r="G301">
        <v>49</v>
      </c>
      <c r="H301">
        <v>80</v>
      </c>
      <c r="I301">
        <v>9</v>
      </c>
      <c r="J301">
        <v>7</v>
      </c>
      <c r="K301" t="s">
        <v>23</v>
      </c>
      <c r="L301" t="s">
        <v>24</v>
      </c>
      <c r="M301">
        <v>1</v>
      </c>
    </row>
    <row r="302" spans="1:13" x14ac:dyDescent="0.35">
      <c r="A302">
        <v>8949</v>
      </c>
      <c r="B302" t="s">
        <v>25</v>
      </c>
      <c r="C302" t="s">
        <v>26</v>
      </c>
      <c r="D302">
        <v>6980.12</v>
      </c>
      <c r="E302">
        <v>7.0000000000000007E-2</v>
      </c>
      <c r="F302">
        <v>0.1</v>
      </c>
      <c r="G302">
        <v>32</v>
      </c>
      <c r="H302">
        <v>47</v>
      </c>
      <c r="I302">
        <v>18</v>
      </c>
      <c r="J302">
        <v>1</v>
      </c>
      <c r="K302" t="s">
        <v>23</v>
      </c>
      <c r="L302" t="s">
        <v>24</v>
      </c>
      <c r="M302">
        <v>1</v>
      </c>
    </row>
    <row r="303" spans="1:13" x14ac:dyDescent="0.35">
      <c r="A303">
        <v>8952</v>
      </c>
      <c r="B303" t="s">
        <v>22</v>
      </c>
      <c r="C303" t="s">
        <v>26</v>
      </c>
      <c r="D303">
        <v>5990.81</v>
      </c>
      <c r="E303">
        <v>0.23</v>
      </c>
      <c r="F303">
        <v>0.11</v>
      </c>
      <c r="G303">
        <v>33</v>
      </c>
      <c r="H303">
        <v>46</v>
      </c>
      <c r="I303">
        <v>12</v>
      </c>
      <c r="J303">
        <v>0</v>
      </c>
      <c r="K303" t="s">
        <v>23</v>
      </c>
      <c r="L303" t="s">
        <v>24</v>
      </c>
      <c r="M303">
        <v>1</v>
      </c>
    </row>
    <row r="304" spans="1:13" x14ac:dyDescent="0.35">
      <c r="A304">
        <v>8957</v>
      </c>
      <c r="B304" t="s">
        <v>29</v>
      </c>
      <c r="C304" t="s">
        <v>19</v>
      </c>
      <c r="D304">
        <v>6800.08</v>
      </c>
      <c r="E304">
        <v>0.11</v>
      </c>
      <c r="F304">
        <v>0.04</v>
      </c>
      <c r="G304">
        <v>14</v>
      </c>
      <c r="H304">
        <v>33</v>
      </c>
      <c r="I304">
        <v>8</v>
      </c>
      <c r="J304">
        <v>0</v>
      </c>
      <c r="K304" t="s">
        <v>23</v>
      </c>
      <c r="L304" t="s">
        <v>24</v>
      </c>
      <c r="M304">
        <v>1</v>
      </c>
    </row>
    <row r="305" spans="1:13" x14ac:dyDescent="0.35">
      <c r="A305">
        <v>8960</v>
      </c>
      <c r="B305" t="s">
        <v>25</v>
      </c>
      <c r="C305" t="s">
        <v>26</v>
      </c>
      <c r="D305">
        <v>6104.36</v>
      </c>
      <c r="E305">
        <v>0.15</v>
      </c>
      <c r="F305">
        <v>0.19</v>
      </c>
      <c r="G305">
        <v>20</v>
      </c>
      <c r="H305">
        <v>84</v>
      </c>
      <c r="I305">
        <v>18</v>
      </c>
      <c r="J305">
        <v>3</v>
      </c>
      <c r="K305" t="s">
        <v>23</v>
      </c>
      <c r="L305" t="s">
        <v>24</v>
      </c>
      <c r="M305">
        <v>1</v>
      </c>
    </row>
    <row r="306" spans="1:13" x14ac:dyDescent="0.35">
      <c r="A306">
        <v>8963</v>
      </c>
      <c r="B306" t="s">
        <v>29</v>
      </c>
      <c r="C306" t="s">
        <v>30</v>
      </c>
      <c r="D306">
        <v>3863.08</v>
      </c>
      <c r="E306">
        <v>0.05</v>
      </c>
      <c r="F306">
        <v>0.15</v>
      </c>
      <c r="G306">
        <v>2</v>
      </c>
      <c r="H306">
        <v>41</v>
      </c>
      <c r="I306">
        <v>8</v>
      </c>
      <c r="J306">
        <v>8</v>
      </c>
      <c r="K306" t="s">
        <v>23</v>
      </c>
      <c r="L306" t="s">
        <v>24</v>
      </c>
      <c r="M306">
        <v>0</v>
      </c>
    </row>
    <row r="307" spans="1:13" x14ac:dyDescent="0.35">
      <c r="A307">
        <v>8965</v>
      </c>
      <c r="B307" t="s">
        <v>22</v>
      </c>
      <c r="C307" t="s">
        <v>32</v>
      </c>
      <c r="D307">
        <v>9880.92</v>
      </c>
      <c r="E307">
        <v>0.25</v>
      </c>
      <c r="F307">
        <v>0.12</v>
      </c>
      <c r="G307">
        <v>20</v>
      </c>
      <c r="H307">
        <v>68</v>
      </c>
      <c r="I307">
        <v>10</v>
      </c>
      <c r="J307">
        <v>7</v>
      </c>
      <c r="K307" t="s">
        <v>23</v>
      </c>
      <c r="L307" t="s">
        <v>24</v>
      </c>
      <c r="M307">
        <v>1</v>
      </c>
    </row>
    <row r="308" spans="1:13" x14ac:dyDescent="0.35">
      <c r="A308">
        <v>8973</v>
      </c>
      <c r="B308" t="s">
        <v>28</v>
      </c>
      <c r="C308" t="s">
        <v>32</v>
      </c>
      <c r="D308">
        <v>5062.99</v>
      </c>
      <c r="E308">
        <v>0.08</v>
      </c>
      <c r="F308">
        <v>0.15</v>
      </c>
      <c r="G308">
        <v>19</v>
      </c>
      <c r="H308">
        <v>67</v>
      </c>
      <c r="I308">
        <v>19</v>
      </c>
      <c r="J308">
        <v>9</v>
      </c>
      <c r="K308" t="s">
        <v>23</v>
      </c>
      <c r="L308" t="s">
        <v>24</v>
      </c>
      <c r="M308">
        <v>1</v>
      </c>
    </row>
    <row r="309" spans="1:13" x14ac:dyDescent="0.35">
      <c r="A309">
        <v>8980</v>
      </c>
      <c r="B309" t="s">
        <v>29</v>
      </c>
      <c r="C309" t="s">
        <v>19</v>
      </c>
      <c r="D309">
        <v>4083.44</v>
      </c>
      <c r="E309">
        <v>0.19</v>
      </c>
      <c r="F309">
        <v>0.17</v>
      </c>
      <c r="G309">
        <v>44</v>
      </c>
      <c r="H309">
        <v>55</v>
      </c>
      <c r="I309">
        <v>5</v>
      </c>
      <c r="J309">
        <v>4</v>
      </c>
      <c r="K309" t="s">
        <v>23</v>
      </c>
      <c r="L309" t="s">
        <v>24</v>
      </c>
      <c r="M309">
        <v>1</v>
      </c>
    </row>
    <row r="310" spans="1:13" x14ac:dyDescent="0.35">
      <c r="A310">
        <v>8982</v>
      </c>
      <c r="B310" t="s">
        <v>22</v>
      </c>
      <c r="C310" t="s">
        <v>30</v>
      </c>
      <c r="D310">
        <v>6140.42</v>
      </c>
      <c r="E310">
        <v>0.13</v>
      </c>
      <c r="F310">
        <v>0.03</v>
      </c>
      <c r="G310">
        <v>2</v>
      </c>
      <c r="H310">
        <v>64</v>
      </c>
      <c r="I310">
        <v>0</v>
      </c>
      <c r="J310">
        <v>7</v>
      </c>
      <c r="K310" t="s">
        <v>23</v>
      </c>
      <c r="L310" t="s">
        <v>24</v>
      </c>
      <c r="M310">
        <v>1</v>
      </c>
    </row>
    <row r="311" spans="1:13" x14ac:dyDescent="0.35">
      <c r="A311">
        <v>8984</v>
      </c>
      <c r="B311" t="s">
        <v>29</v>
      </c>
      <c r="C311" t="s">
        <v>26</v>
      </c>
      <c r="D311">
        <v>9205.67</v>
      </c>
      <c r="E311">
        <v>0.18</v>
      </c>
      <c r="F311">
        <v>0.13</v>
      </c>
      <c r="G311">
        <v>40</v>
      </c>
      <c r="H311">
        <v>39</v>
      </c>
      <c r="I311">
        <v>0</v>
      </c>
      <c r="J311">
        <v>8</v>
      </c>
      <c r="K311" t="s">
        <v>23</v>
      </c>
      <c r="L311" t="s">
        <v>24</v>
      </c>
      <c r="M311">
        <v>1</v>
      </c>
    </row>
    <row r="312" spans="1:13" x14ac:dyDescent="0.35">
      <c r="A312">
        <v>8986</v>
      </c>
      <c r="B312" t="s">
        <v>28</v>
      </c>
      <c r="C312" t="s">
        <v>19</v>
      </c>
      <c r="D312">
        <v>4047.08</v>
      </c>
      <c r="E312">
        <v>7.0000000000000007E-2</v>
      </c>
      <c r="F312">
        <v>0.12</v>
      </c>
      <c r="G312">
        <v>40</v>
      </c>
      <c r="H312">
        <v>26</v>
      </c>
      <c r="I312">
        <v>8</v>
      </c>
      <c r="J312">
        <v>1</v>
      </c>
      <c r="K312" t="s">
        <v>23</v>
      </c>
      <c r="L312" t="s">
        <v>24</v>
      </c>
      <c r="M312">
        <v>1</v>
      </c>
    </row>
    <row r="313" spans="1:13" x14ac:dyDescent="0.35">
      <c r="A313">
        <v>8987</v>
      </c>
      <c r="B313" t="s">
        <v>25</v>
      </c>
      <c r="C313" t="s">
        <v>32</v>
      </c>
      <c r="D313">
        <v>2709.53</v>
      </c>
      <c r="E313">
        <v>0.22</v>
      </c>
      <c r="F313">
        <v>0.18</v>
      </c>
      <c r="G313">
        <v>12</v>
      </c>
      <c r="H313">
        <v>66</v>
      </c>
      <c r="I313">
        <v>9</v>
      </c>
      <c r="J313">
        <v>9</v>
      </c>
      <c r="K313" t="s">
        <v>23</v>
      </c>
      <c r="L313" t="s">
        <v>24</v>
      </c>
      <c r="M313">
        <v>1</v>
      </c>
    </row>
    <row r="314" spans="1:13" x14ac:dyDescent="0.35">
      <c r="A314">
        <v>8988</v>
      </c>
      <c r="B314" t="s">
        <v>25</v>
      </c>
      <c r="C314" t="s">
        <v>30</v>
      </c>
      <c r="D314">
        <v>9062.32</v>
      </c>
      <c r="E314">
        <v>0.1</v>
      </c>
      <c r="F314">
        <v>0.02</v>
      </c>
      <c r="G314">
        <v>8</v>
      </c>
      <c r="H314">
        <v>99</v>
      </c>
      <c r="I314">
        <v>11</v>
      </c>
      <c r="J314">
        <v>5</v>
      </c>
      <c r="K314" t="s">
        <v>23</v>
      </c>
      <c r="L314" t="s">
        <v>24</v>
      </c>
      <c r="M314">
        <v>1</v>
      </c>
    </row>
    <row r="315" spans="1:13" x14ac:dyDescent="0.35">
      <c r="A315">
        <v>8989</v>
      </c>
      <c r="B315" t="s">
        <v>22</v>
      </c>
      <c r="C315" t="s">
        <v>26</v>
      </c>
      <c r="D315">
        <v>261.02</v>
      </c>
      <c r="E315">
        <v>0.06</v>
      </c>
      <c r="F315">
        <v>0.03</v>
      </c>
      <c r="G315">
        <v>45</v>
      </c>
      <c r="H315">
        <v>93</v>
      </c>
      <c r="I315">
        <v>3</v>
      </c>
      <c r="J315">
        <v>3</v>
      </c>
      <c r="K315" t="s">
        <v>23</v>
      </c>
      <c r="L315" t="s">
        <v>24</v>
      </c>
      <c r="M315">
        <v>0</v>
      </c>
    </row>
    <row r="316" spans="1:13" x14ac:dyDescent="0.35">
      <c r="A316">
        <v>8991</v>
      </c>
      <c r="B316" t="s">
        <v>28</v>
      </c>
      <c r="C316" t="s">
        <v>30</v>
      </c>
      <c r="D316">
        <v>9440.7099999999991</v>
      </c>
      <c r="E316">
        <v>7.0000000000000007E-2</v>
      </c>
      <c r="F316">
        <v>0.13</v>
      </c>
      <c r="G316">
        <v>48</v>
      </c>
      <c r="H316">
        <v>73</v>
      </c>
      <c r="I316">
        <v>10</v>
      </c>
      <c r="J316">
        <v>7</v>
      </c>
      <c r="K316" t="s">
        <v>23</v>
      </c>
      <c r="L316" t="s">
        <v>24</v>
      </c>
      <c r="M316">
        <v>1</v>
      </c>
    </row>
    <row r="317" spans="1:13" x14ac:dyDescent="0.35">
      <c r="A317">
        <v>8995</v>
      </c>
      <c r="B317" t="s">
        <v>25</v>
      </c>
      <c r="C317" t="s">
        <v>19</v>
      </c>
      <c r="D317">
        <v>8350.41</v>
      </c>
      <c r="E317">
        <v>0.22</v>
      </c>
      <c r="F317">
        <v>0.12</v>
      </c>
      <c r="G317">
        <v>10</v>
      </c>
      <c r="H317">
        <v>97</v>
      </c>
      <c r="I317">
        <v>19</v>
      </c>
      <c r="J317">
        <v>1</v>
      </c>
      <c r="K317" t="s">
        <v>23</v>
      </c>
      <c r="L317" t="s">
        <v>24</v>
      </c>
      <c r="M317">
        <v>1</v>
      </c>
    </row>
    <row r="318" spans="1:13" x14ac:dyDescent="0.35">
      <c r="A318">
        <v>10423</v>
      </c>
      <c r="B318" t="s">
        <v>22</v>
      </c>
      <c r="C318" t="s">
        <v>19</v>
      </c>
      <c r="D318">
        <v>1330.65</v>
      </c>
      <c r="E318">
        <v>0.15</v>
      </c>
      <c r="F318">
        <v>0.1</v>
      </c>
      <c r="G318">
        <v>14</v>
      </c>
      <c r="H318">
        <v>68</v>
      </c>
      <c r="I318">
        <v>5</v>
      </c>
      <c r="J318">
        <v>2</v>
      </c>
      <c r="K318" t="s">
        <v>23</v>
      </c>
      <c r="L318" t="s">
        <v>24</v>
      </c>
      <c r="M318">
        <v>1</v>
      </c>
    </row>
    <row r="319" spans="1:13" x14ac:dyDescent="0.35">
      <c r="A319">
        <v>11432</v>
      </c>
      <c r="B319" t="s">
        <v>29</v>
      </c>
      <c r="C319" t="s">
        <v>32</v>
      </c>
      <c r="D319">
        <v>8207.8700000000008</v>
      </c>
      <c r="E319">
        <v>0.1</v>
      </c>
      <c r="F319">
        <v>0.15</v>
      </c>
      <c r="G319">
        <v>39</v>
      </c>
      <c r="H319">
        <v>0</v>
      </c>
      <c r="I319">
        <v>7</v>
      </c>
      <c r="J319">
        <v>9</v>
      </c>
      <c r="K319" t="s">
        <v>23</v>
      </c>
      <c r="L319" t="s">
        <v>24</v>
      </c>
      <c r="M319">
        <v>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0984-63FC-41BD-8204-9A8AEE3ADB4A}">
  <dimension ref="A1:U319"/>
  <sheetViews>
    <sheetView workbookViewId="0">
      <selection activeCell="U3" sqref="U3"/>
    </sheetView>
  </sheetViews>
  <sheetFormatPr defaultRowHeight="14.5" x14ac:dyDescent="0.35"/>
  <cols>
    <col min="1" max="1" width="13.08984375" bestFit="1" customWidth="1"/>
    <col min="2" max="2" width="6.1796875" bestFit="1" customWidth="1"/>
    <col min="3" max="4" width="9.26953125" bestFit="1" customWidth="1"/>
    <col min="5" max="5" width="18.26953125" bestFit="1" customWidth="1"/>
    <col min="6" max="6" width="15.453125" bestFit="1" customWidth="1"/>
    <col min="7" max="7" width="10.54296875" bestFit="1" customWidth="1"/>
    <col min="8" max="8" width="17.81640625" bestFit="1" customWidth="1"/>
    <col min="9" max="9" width="16.36328125" bestFit="1" customWidth="1"/>
    <col min="10" max="10" width="14.453125" bestFit="1" customWidth="1"/>
    <col min="11" max="11" width="14.36328125" bestFit="1" customWidth="1"/>
    <col min="12" max="12" width="12.7265625" bestFit="1" customWidth="1"/>
    <col min="13" max="13" width="13.36328125" bestFit="1" customWidth="1"/>
    <col min="14" max="14" width="13" bestFit="1" customWidth="1"/>
    <col min="15" max="15" width="12.26953125" bestFit="1" customWidth="1"/>
    <col min="16" max="16" width="18.81640625" bestFit="1" customWidth="1"/>
    <col min="17" max="17" width="14.26953125" bestFit="1" customWidth="1"/>
    <col min="18" max="18" width="20" bestFit="1" customWidth="1"/>
    <col min="19" max="19" width="16.1796875" bestFit="1" customWidth="1"/>
    <col min="20" max="20" width="12.453125" bestFit="1" customWidth="1"/>
    <col min="21" max="21" width="7.8164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8004</v>
      </c>
      <c r="B2">
        <v>60</v>
      </c>
      <c r="C2" t="s">
        <v>21</v>
      </c>
      <c r="D2">
        <v>83964</v>
      </c>
      <c r="E2" t="s">
        <v>22</v>
      </c>
      <c r="F2" t="s">
        <v>19</v>
      </c>
      <c r="G2">
        <v>1678.04</v>
      </c>
      <c r="H2">
        <v>0.25</v>
      </c>
      <c r="I2">
        <v>0.11</v>
      </c>
      <c r="J2">
        <v>0</v>
      </c>
      <c r="K2">
        <v>2.0499999999999998</v>
      </c>
      <c r="L2">
        <v>13.99</v>
      </c>
      <c r="M2">
        <v>6</v>
      </c>
      <c r="N2">
        <v>6</v>
      </c>
      <c r="O2">
        <v>6</v>
      </c>
      <c r="P2">
        <v>8</v>
      </c>
      <c r="Q2">
        <v>4345</v>
      </c>
      <c r="R2" t="s">
        <v>23</v>
      </c>
      <c r="S2" t="s">
        <v>24</v>
      </c>
      <c r="T2">
        <v>1</v>
      </c>
      <c r="U2">
        <v>1678.04</v>
      </c>
    </row>
    <row r="3" spans="1:21" x14ac:dyDescent="0.35">
      <c r="A3">
        <v>8006</v>
      </c>
      <c r="B3">
        <v>38</v>
      </c>
      <c r="C3" t="s">
        <v>21</v>
      </c>
      <c r="D3">
        <v>25615</v>
      </c>
      <c r="E3" t="s">
        <v>25</v>
      </c>
      <c r="F3" t="s">
        <v>26</v>
      </c>
      <c r="G3">
        <v>7302.9</v>
      </c>
      <c r="H3">
        <v>0.04</v>
      </c>
      <c r="I3">
        <v>0.06</v>
      </c>
      <c r="J3">
        <v>42</v>
      </c>
      <c r="K3">
        <v>1.75</v>
      </c>
      <c r="L3">
        <v>10.7</v>
      </c>
      <c r="M3">
        <v>54</v>
      </c>
      <c r="N3">
        <v>14</v>
      </c>
      <c r="O3">
        <v>3</v>
      </c>
      <c r="P3">
        <v>6</v>
      </c>
      <c r="Q3">
        <v>930</v>
      </c>
      <c r="R3" t="s">
        <v>23</v>
      </c>
      <c r="S3" t="s">
        <v>24</v>
      </c>
      <c r="T3">
        <v>1</v>
      </c>
      <c r="U3">
        <v>7302.9</v>
      </c>
    </row>
    <row r="4" spans="1:21" x14ac:dyDescent="0.35">
      <c r="A4">
        <v>8012</v>
      </c>
      <c r="B4">
        <v>41</v>
      </c>
      <c r="C4" t="s">
        <v>27</v>
      </c>
      <c r="D4">
        <v>131093</v>
      </c>
      <c r="E4" t="s">
        <v>28</v>
      </c>
      <c r="F4" t="s">
        <v>19</v>
      </c>
      <c r="G4">
        <v>5930.92</v>
      </c>
      <c r="H4">
        <v>0.22</v>
      </c>
      <c r="I4">
        <v>0.02</v>
      </c>
      <c r="J4">
        <v>13</v>
      </c>
      <c r="K4">
        <v>8.89</v>
      </c>
      <c r="L4">
        <v>8.48</v>
      </c>
      <c r="M4">
        <v>28</v>
      </c>
      <c r="N4">
        <v>16</v>
      </c>
      <c r="O4">
        <v>5</v>
      </c>
      <c r="P4">
        <v>4</v>
      </c>
      <c r="Q4">
        <v>2946</v>
      </c>
      <c r="R4" t="s">
        <v>23</v>
      </c>
      <c r="S4" t="s">
        <v>24</v>
      </c>
      <c r="T4">
        <v>1</v>
      </c>
      <c r="U4">
        <v>5930.92</v>
      </c>
    </row>
    <row r="5" spans="1:21" x14ac:dyDescent="0.35">
      <c r="A5">
        <v>8013</v>
      </c>
      <c r="B5">
        <v>53</v>
      </c>
      <c r="C5" t="s">
        <v>27</v>
      </c>
      <c r="D5">
        <v>64608</v>
      </c>
      <c r="E5" t="s">
        <v>29</v>
      </c>
      <c r="F5" t="s">
        <v>26</v>
      </c>
      <c r="G5">
        <v>1520.42</v>
      </c>
      <c r="H5">
        <v>0.19</v>
      </c>
      <c r="I5">
        <v>0.16</v>
      </c>
      <c r="J5">
        <v>8</v>
      </c>
      <c r="K5">
        <v>8.5</v>
      </c>
      <c r="L5">
        <v>14.25</v>
      </c>
      <c r="M5">
        <v>81</v>
      </c>
      <c r="N5">
        <v>8</v>
      </c>
      <c r="O5">
        <v>1</v>
      </c>
      <c r="P5">
        <v>2</v>
      </c>
      <c r="Q5">
        <v>2818</v>
      </c>
      <c r="R5" t="s">
        <v>23</v>
      </c>
      <c r="S5" t="s">
        <v>24</v>
      </c>
      <c r="T5">
        <v>1</v>
      </c>
      <c r="U5">
        <v>1520.42</v>
      </c>
    </row>
    <row r="6" spans="1:21" x14ac:dyDescent="0.35">
      <c r="A6">
        <v>8014</v>
      </c>
      <c r="B6">
        <v>57</v>
      </c>
      <c r="C6" t="s">
        <v>27</v>
      </c>
      <c r="D6">
        <v>148788</v>
      </c>
      <c r="E6" t="s">
        <v>28</v>
      </c>
      <c r="F6" t="s">
        <v>26</v>
      </c>
      <c r="G6">
        <v>4104.38</v>
      </c>
      <c r="H6">
        <v>0.12</v>
      </c>
      <c r="I6">
        <v>0.11</v>
      </c>
      <c r="J6">
        <v>20</v>
      </c>
      <c r="K6">
        <v>7.36</v>
      </c>
      <c r="L6">
        <v>2.4700000000000002</v>
      </c>
      <c r="M6">
        <v>70</v>
      </c>
      <c r="N6">
        <v>16</v>
      </c>
      <c r="O6">
        <v>8</v>
      </c>
      <c r="P6">
        <v>1</v>
      </c>
      <c r="Q6">
        <v>3247</v>
      </c>
      <c r="R6" t="s">
        <v>23</v>
      </c>
      <c r="S6" t="s">
        <v>24</v>
      </c>
      <c r="T6">
        <v>1</v>
      </c>
      <c r="U6">
        <v>4104.38</v>
      </c>
    </row>
    <row r="7" spans="1:21" x14ac:dyDescent="0.35">
      <c r="A7">
        <v>8015</v>
      </c>
      <c r="B7">
        <v>41</v>
      </c>
      <c r="C7" t="s">
        <v>21</v>
      </c>
      <c r="D7">
        <v>39192</v>
      </c>
      <c r="E7" t="s">
        <v>28</v>
      </c>
      <c r="F7" t="s">
        <v>26</v>
      </c>
      <c r="G7">
        <v>429.08</v>
      </c>
      <c r="H7">
        <v>7.0000000000000007E-2</v>
      </c>
      <c r="I7">
        <v>0.1</v>
      </c>
      <c r="J7">
        <v>44</v>
      </c>
      <c r="K7">
        <v>6.95</v>
      </c>
      <c r="L7">
        <v>2.25</v>
      </c>
      <c r="M7">
        <v>33</v>
      </c>
      <c r="N7">
        <v>0</v>
      </c>
      <c r="O7">
        <v>1</v>
      </c>
      <c r="P7">
        <v>1</v>
      </c>
      <c r="Q7">
        <v>4474</v>
      </c>
      <c r="R7" t="s">
        <v>23</v>
      </c>
      <c r="S7" t="s">
        <v>24</v>
      </c>
      <c r="T7">
        <v>0</v>
      </c>
    </row>
    <row r="8" spans="1:21" x14ac:dyDescent="0.35">
      <c r="A8">
        <v>8018</v>
      </c>
      <c r="B8">
        <v>19</v>
      </c>
      <c r="C8" t="s">
        <v>21</v>
      </c>
      <c r="D8">
        <v>117392</v>
      </c>
      <c r="E8" t="s">
        <v>22</v>
      </c>
      <c r="F8" t="s">
        <v>19</v>
      </c>
      <c r="G8">
        <v>3939.01</v>
      </c>
      <c r="H8">
        <v>0.15</v>
      </c>
      <c r="I8">
        <v>0.03</v>
      </c>
      <c r="J8">
        <v>7</v>
      </c>
      <c r="K8">
        <v>3.12</v>
      </c>
      <c r="L8">
        <v>8.44</v>
      </c>
      <c r="M8">
        <v>92</v>
      </c>
      <c r="N8">
        <v>8</v>
      </c>
      <c r="O8">
        <v>4</v>
      </c>
      <c r="P8">
        <v>6</v>
      </c>
      <c r="Q8">
        <v>2222</v>
      </c>
      <c r="R8" t="s">
        <v>23</v>
      </c>
      <c r="S8" t="s">
        <v>24</v>
      </c>
      <c r="T8">
        <v>1</v>
      </c>
      <c r="U8">
        <v>3939.01</v>
      </c>
    </row>
    <row r="9" spans="1:21" x14ac:dyDescent="0.35">
      <c r="A9">
        <v>8019</v>
      </c>
      <c r="B9">
        <v>41</v>
      </c>
      <c r="C9" t="s">
        <v>21</v>
      </c>
      <c r="D9">
        <v>69949</v>
      </c>
      <c r="E9" t="s">
        <v>22</v>
      </c>
      <c r="F9" t="s">
        <v>30</v>
      </c>
      <c r="G9">
        <v>8446.0499999999993</v>
      </c>
      <c r="H9">
        <v>0.3</v>
      </c>
      <c r="I9">
        <v>0.05</v>
      </c>
      <c r="J9">
        <v>35</v>
      </c>
      <c r="K9">
        <v>9.82</v>
      </c>
      <c r="L9">
        <v>1.9</v>
      </c>
      <c r="M9">
        <v>36</v>
      </c>
      <c r="N9">
        <v>7</v>
      </c>
      <c r="O9">
        <v>7</v>
      </c>
      <c r="P9">
        <v>3</v>
      </c>
      <c r="Q9">
        <v>3644</v>
      </c>
      <c r="R9" t="s">
        <v>23</v>
      </c>
      <c r="S9" t="s">
        <v>24</v>
      </c>
      <c r="T9">
        <v>1</v>
      </c>
      <c r="U9">
        <v>8446.0499999999993</v>
      </c>
    </row>
    <row r="10" spans="1:21" x14ac:dyDescent="0.35">
      <c r="A10">
        <v>8027</v>
      </c>
      <c r="B10">
        <v>39</v>
      </c>
      <c r="C10" t="s">
        <v>27</v>
      </c>
      <c r="D10">
        <v>98311</v>
      </c>
      <c r="E10" t="s">
        <v>31</v>
      </c>
      <c r="F10" t="s">
        <v>32</v>
      </c>
      <c r="G10">
        <v>6920.24</v>
      </c>
      <c r="H10">
        <v>0.01</v>
      </c>
      <c r="I10">
        <v>0.11</v>
      </c>
      <c r="J10">
        <v>39</v>
      </c>
      <c r="K10">
        <v>2.52</v>
      </c>
      <c r="L10">
        <v>9.33</v>
      </c>
      <c r="M10">
        <v>98</v>
      </c>
      <c r="N10">
        <v>17</v>
      </c>
      <c r="O10">
        <v>6</v>
      </c>
      <c r="P10">
        <v>1</v>
      </c>
      <c r="Q10">
        <v>2688</v>
      </c>
      <c r="R10" t="s">
        <v>23</v>
      </c>
      <c r="S10" t="s">
        <v>24</v>
      </c>
      <c r="T10">
        <v>1</v>
      </c>
      <c r="U10">
        <v>6920.24</v>
      </c>
    </row>
    <row r="11" spans="1:21" x14ac:dyDescent="0.35">
      <c r="A11">
        <v>8028</v>
      </c>
      <c r="B11">
        <v>61</v>
      </c>
      <c r="C11" t="s">
        <v>21</v>
      </c>
      <c r="D11">
        <v>27549</v>
      </c>
      <c r="E11" t="s">
        <v>25</v>
      </c>
      <c r="F11" t="s">
        <v>32</v>
      </c>
      <c r="G11">
        <v>6250.27</v>
      </c>
      <c r="H11">
        <v>0.15</v>
      </c>
      <c r="I11">
        <v>0.08</v>
      </c>
      <c r="J11">
        <v>25</v>
      </c>
      <c r="K11">
        <v>3.95</v>
      </c>
      <c r="L11">
        <v>10.67</v>
      </c>
      <c r="M11">
        <v>92</v>
      </c>
      <c r="N11">
        <v>17</v>
      </c>
      <c r="O11">
        <v>1</v>
      </c>
      <c r="P11">
        <v>3</v>
      </c>
      <c r="Q11">
        <v>68</v>
      </c>
      <c r="R11" t="s">
        <v>23</v>
      </c>
      <c r="S11" t="s">
        <v>24</v>
      </c>
      <c r="T11">
        <v>1</v>
      </c>
      <c r="U11">
        <v>6250.27</v>
      </c>
    </row>
    <row r="12" spans="1:21" x14ac:dyDescent="0.35">
      <c r="A12">
        <v>8032</v>
      </c>
      <c r="B12">
        <v>59</v>
      </c>
      <c r="C12" t="s">
        <v>21</v>
      </c>
      <c r="D12">
        <v>43958</v>
      </c>
      <c r="E12" t="s">
        <v>25</v>
      </c>
      <c r="F12" t="s">
        <v>26</v>
      </c>
      <c r="G12">
        <v>8740.4500000000007</v>
      </c>
      <c r="H12">
        <v>0.28000000000000003</v>
      </c>
      <c r="I12">
        <v>0.02</v>
      </c>
      <c r="J12">
        <v>24</v>
      </c>
      <c r="K12">
        <v>3.17</v>
      </c>
      <c r="L12">
        <v>3.14</v>
      </c>
      <c r="M12">
        <v>24</v>
      </c>
      <c r="N12">
        <v>10</v>
      </c>
      <c r="O12">
        <v>5</v>
      </c>
      <c r="P12">
        <v>6</v>
      </c>
      <c r="Q12">
        <v>4683</v>
      </c>
      <c r="R12" t="s">
        <v>23</v>
      </c>
      <c r="S12" t="s">
        <v>24</v>
      </c>
      <c r="T12">
        <v>1</v>
      </c>
      <c r="U12">
        <v>8740.4500000000007</v>
      </c>
    </row>
    <row r="13" spans="1:21" x14ac:dyDescent="0.35">
      <c r="A13">
        <v>8039</v>
      </c>
      <c r="B13">
        <v>69</v>
      </c>
      <c r="C13" t="s">
        <v>27</v>
      </c>
      <c r="D13">
        <v>141835</v>
      </c>
      <c r="E13" t="s">
        <v>25</v>
      </c>
      <c r="F13" t="s">
        <v>19</v>
      </c>
      <c r="G13">
        <v>3360.96</v>
      </c>
      <c r="H13">
        <v>0.13</v>
      </c>
      <c r="I13">
        <v>0.16</v>
      </c>
      <c r="J13">
        <v>20</v>
      </c>
      <c r="K13">
        <v>1.7</v>
      </c>
      <c r="L13">
        <v>1.17</v>
      </c>
      <c r="M13">
        <v>1</v>
      </c>
      <c r="N13">
        <v>13</v>
      </c>
      <c r="O13">
        <v>0</v>
      </c>
      <c r="P13">
        <v>0</v>
      </c>
      <c r="Q13">
        <v>2885</v>
      </c>
      <c r="R13" t="s">
        <v>23</v>
      </c>
      <c r="S13" t="s">
        <v>24</v>
      </c>
      <c r="T13">
        <v>1</v>
      </c>
      <c r="U13">
        <v>3360.96</v>
      </c>
    </row>
    <row r="14" spans="1:21" x14ac:dyDescent="0.35">
      <c r="A14">
        <v>8040</v>
      </c>
      <c r="B14">
        <v>20</v>
      </c>
      <c r="C14" t="s">
        <v>21</v>
      </c>
      <c r="D14">
        <v>57538</v>
      </c>
      <c r="E14" t="s">
        <v>28</v>
      </c>
      <c r="F14" t="s">
        <v>19</v>
      </c>
      <c r="G14">
        <v>4101.22</v>
      </c>
      <c r="H14">
        <v>0.28000000000000003</v>
      </c>
      <c r="I14">
        <v>0.1</v>
      </c>
      <c r="J14">
        <v>24</v>
      </c>
      <c r="K14">
        <v>1.07</v>
      </c>
      <c r="L14">
        <v>11.25</v>
      </c>
      <c r="M14">
        <v>13</v>
      </c>
      <c r="N14">
        <v>4</v>
      </c>
      <c r="O14">
        <v>7</v>
      </c>
      <c r="P14">
        <v>3</v>
      </c>
      <c r="Q14">
        <v>1476</v>
      </c>
      <c r="R14" t="s">
        <v>23</v>
      </c>
      <c r="S14" t="s">
        <v>24</v>
      </c>
      <c r="T14">
        <v>1</v>
      </c>
      <c r="U14">
        <v>4101.22</v>
      </c>
    </row>
    <row r="15" spans="1:21" x14ac:dyDescent="0.35">
      <c r="A15">
        <v>8041</v>
      </c>
      <c r="B15">
        <v>54</v>
      </c>
      <c r="C15" t="s">
        <v>21</v>
      </c>
      <c r="D15">
        <v>25833</v>
      </c>
      <c r="E15" t="s">
        <v>31</v>
      </c>
      <c r="F15" t="s">
        <v>19</v>
      </c>
      <c r="G15">
        <v>9087.27</v>
      </c>
      <c r="H15">
        <v>0.02</v>
      </c>
      <c r="I15">
        <v>0.1</v>
      </c>
      <c r="J15">
        <v>39</v>
      </c>
      <c r="K15">
        <v>8.7799999999999994</v>
      </c>
      <c r="L15">
        <v>2.34</v>
      </c>
      <c r="M15">
        <v>49</v>
      </c>
      <c r="N15">
        <v>14</v>
      </c>
      <c r="O15">
        <v>3</v>
      </c>
      <c r="P15">
        <v>1</v>
      </c>
      <c r="Q15">
        <v>3243</v>
      </c>
      <c r="R15" t="s">
        <v>23</v>
      </c>
      <c r="S15" t="s">
        <v>24</v>
      </c>
      <c r="T15">
        <v>1</v>
      </c>
      <c r="U15">
        <v>9087.27</v>
      </c>
    </row>
    <row r="16" spans="1:21" x14ac:dyDescent="0.35">
      <c r="A16">
        <v>8043</v>
      </c>
      <c r="B16">
        <v>24</v>
      </c>
      <c r="C16" t="s">
        <v>27</v>
      </c>
      <c r="D16">
        <v>43386</v>
      </c>
      <c r="E16" t="s">
        <v>29</v>
      </c>
      <c r="F16" t="s">
        <v>32</v>
      </c>
      <c r="G16">
        <v>5705.13</v>
      </c>
      <c r="H16">
        <v>0.05</v>
      </c>
      <c r="I16">
        <v>0.19</v>
      </c>
      <c r="J16">
        <v>21</v>
      </c>
      <c r="K16">
        <v>2.29</v>
      </c>
      <c r="L16">
        <v>8.5500000000000007</v>
      </c>
      <c r="M16">
        <v>33</v>
      </c>
      <c r="N16">
        <v>5</v>
      </c>
      <c r="O16">
        <v>9</v>
      </c>
      <c r="P16">
        <v>0</v>
      </c>
      <c r="Q16">
        <v>913</v>
      </c>
      <c r="R16" t="s">
        <v>23</v>
      </c>
      <c r="S16" t="s">
        <v>24</v>
      </c>
      <c r="T16">
        <v>0</v>
      </c>
    </row>
    <row r="17" spans="1:21" x14ac:dyDescent="0.35">
      <c r="A17">
        <v>8045</v>
      </c>
      <c r="B17">
        <v>26</v>
      </c>
      <c r="C17" t="s">
        <v>27</v>
      </c>
      <c r="D17">
        <v>120349</v>
      </c>
      <c r="E17" t="s">
        <v>31</v>
      </c>
      <c r="F17" t="s">
        <v>26</v>
      </c>
      <c r="G17">
        <v>5036.7299999999996</v>
      </c>
      <c r="H17">
        <v>0.15</v>
      </c>
      <c r="I17">
        <v>0.09</v>
      </c>
      <c r="J17">
        <v>7</v>
      </c>
      <c r="K17">
        <v>8.66</v>
      </c>
      <c r="L17">
        <v>7.88</v>
      </c>
      <c r="M17">
        <v>91</v>
      </c>
      <c r="N17">
        <v>15</v>
      </c>
      <c r="O17">
        <v>3</v>
      </c>
      <c r="P17">
        <v>0</v>
      </c>
      <c r="Q17">
        <v>284</v>
      </c>
      <c r="R17" t="s">
        <v>23</v>
      </c>
      <c r="S17" t="s">
        <v>24</v>
      </c>
      <c r="T17">
        <v>1</v>
      </c>
      <c r="U17">
        <v>5036.7299999999996</v>
      </c>
    </row>
    <row r="18" spans="1:21" x14ac:dyDescent="0.35">
      <c r="A18">
        <v>8046</v>
      </c>
      <c r="B18">
        <v>56</v>
      </c>
      <c r="C18" t="s">
        <v>21</v>
      </c>
      <c r="D18">
        <v>119341</v>
      </c>
      <c r="E18" t="s">
        <v>28</v>
      </c>
      <c r="F18" t="s">
        <v>32</v>
      </c>
      <c r="G18">
        <v>9190.27</v>
      </c>
      <c r="H18">
        <v>0.12</v>
      </c>
      <c r="I18">
        <v>0.16</v>
      </c>
      <c r="J18">
        <v>23</v>
      </c>
      <c r="K18">
        <v>1.75</v>
      </c>
      <c r="L18">
        <v>0.69</v>
      </c>
      <c r="M18">
        <v>38</v>
      </c>
      <c r="N18">
        <v>18</v>
      </c>
      <c r="O18">
        <v>7</v>
      </c>
      <c r="P18">
        <v>1</v>
      </c>
      <c r="Q18">
        <v>4275</v>
      </c>
      <c r="R18" t="s">
        <v>23</v>
      </c>
      <c r="S18" t="s">
        <v>24</v>
      </c>
      <c r="T18">
        <v>1</v>
      </c>
      <c r="U18">
        <v>9190.27</v>
      </c>
    </row>
    <row r="19" spans="1:21" x14ac:dyDescent="0.35">
      <c r="A19">
        <v>8049</v>
      </c>
      <c r="B19">
        <v>42</v>
      </c>
      <c r="C19" t="s">
        <v>21</v>
      </c>
      <c r="D19">
        <v>127955</v>
      </c>
      <c r="E19" t="s">
        <v>29</v>
      </c>
      <c r="F19" t="s">
        <v>32</v>
      </c>
      <c r="G19">
        <v>408.69</v>
      </c>
      <c r="H19">
        <v>0.2</v>
      </c>
      <c r="I19">
        <v>0.11</v>
      </c>
      <c r="J19">
        <v>46</v>
      </c>
      <c r="K19">
        <v>6.92</v>
      </c>
      <c r="L19">
        <v>13.97</v>
      </c>
      <c r="M19">
        <v>96</v>
      </c>
      <c r="N19">
        <v>17</v>
      </c>
      <c r="O19">
        <v>4</v>
      </c>
      <c r="P19">
        <v>9</v>
      </c>
      <c r="Q19">
        <v>3404</v>
      </c>
      <c r="R19" t="s">
        <v>23</v>
      </c>
      <c r="S19" t="s">
        <v>24</v>
      </c>
      <c r="T19">
        <v>1</v>
      </c>
      <c r="U19">
        <v>408.69</v>
      </c>
    </row>
    <row r="20" spans="1:21" x14ac:dyDescent="0.35">
      <c r="A20">
        <v>8055</v>
      </c>
      <c r="B20">
        <v>37</v>
      </c>
      <c r="C20" t="s">
        <v>27</v>
      </c>
      <c r="D20">
        <v>37667</v>
      </c>
      <c r="E20" t="s">
        <v>28</v>
      </c>
      <c r="F20" t="s">
        <v>30</v>
      </c>
      <c r="G20">
        <v>7856.01</v>
      </c>
      <c r="H20">
        <v>0.09</v>
      </c>
      <c r="I20">
        <v>7.0000000000000007E-2</v>
      </c>
      <c r="J20">
        <v>22</v>
      </c>
      <c r="K20">
        <v>4.6100000000000003</v>
      </c>
      <c r="L20">
        <v>1.98</v>
      </c>
      <c r="M20">
        <v>87</v>
      </c>
      <c r="N20">
        <v>3</v>
      </c>
      <c r="O20">
        <v>8</v>
      </c>
      <c r="P20">
        <v>2</v>
      </c>
      <c r="Q20">
        <v>1977</v>
      </c>
      <c r="R20" t="s">
        <v>23</v>
      </c>
      <c r="S20" t="s">
        <v>24</v>
      </c>
      <c r="T20">
        <v>1</v>
      </c>
      <c r="U20">
        <v>7856.01</v>
      </c>
    </row>
    <row r="21" spans="1:21" x14ac:dyDescent="0.35">
      <c r="A21">
        <v>8057</v>
      </c>
      <c r="B21">
        <v>64</v>
      </c>
      <c r="C21" t="s">
        <v>21</v>
      </c>
      <c r="D21">
        <v>26732</v>
      </c>
      <c r="E21" t="s">
        <v>22</v>
      </c>
      <c r="F21" t="s">
        <v>26</v>
      </c>
      <c r="G21">
        <v>7830.39</v>
      </c>
      <c r="H21">
        <v>0.04</v>
      </c>
      <c r="I21">
        <v>0.12</v>
      </c>
      <c r="J21">
        <v>37</v>
      </c>
      <c r="K21">
        <v>3.28</v>
      </c>
      <c r="L21">
        <v>10.5</v>
      </c>
      <c r="M21">
        <v>68</v>
      </c>
      <c r="N21">
        <v>5</v>
      </c>
      <c r="O21">
        <v>3</v>
      </c>
      <c r="P21">
        <v>0</v>
      </c>
      <c r="Q21">
        <v>336</v>
      </c>
      <c r="R21" t="s">
        <v>23</v>
      </c>
      <c r="S21" t="s">
        <v>24</v>
      </c>
      <c r="T21">
        <v>1</v>
      </c>
      <c r="U21">
        <v>7830.39</v>
      </c>
    </row>
    <row r="22" spans="1:21" x14ac:dyDescent="0.35">
      <c r="A22">
        <v>8071</v>
      </c>
      <c r="B22">
        <v>59</v>
      </c>
      <c r="C22" t="s">
        <v>21</v>
      </c>
      <c r="D22">
        <v>59865</v>
      </c>
      <c r="E22" t="s">
        <v>22</v>
      </c>
      <c r="F22" t="s">
        <v>19</v>
      </c>
      <c r="G22">
        <v>3042.86</v>
      </c>
      <c r="H22">
        <v>0.3</v>
      </c>
      <c r="I22">
        <v>0.14000000000000001</v>
      </c>
      <c r="J22">
        <v>43</v>
      </c>
      <c r="K22">
        <v>2.33</v>
      </c>
      <c r="L22">
        <v>4.58</v>
      </c>
      <c r="M22">
        <v>46</v>
      </c>
      <c r="N22">
        <v>4</v>
      </c>
      <c r="O22">
        <v>5</v>
      </c>
      <c r="P22">
        <v>7</v>
      </c>
      <c r="Q22">
        <v>558</v>
      </c>
      <c r="R22" t="s">
        <v>23</v>
      </c>
      <c r="S22" t="s">
        <v>24</v>
      </c>
      <c r="T22">
        <v>1</v>
      </c>
      <c r="U22">
        <v>3042.86</v>
      </c>
    </row>
    <row r="23" spans="1:21" x14ac:dyDescent="0.35">
      <c r="A23">
        <v>8072</v>
      </c>
      <c r="B23">
        <v>21</v>
      </c>
      <c r="C23" t="s">
        <v>27</v>
      </c>
      <c r="D23">
        <v>28469</v>
      </c>
      <c r="E23" t="s">
        <v>28</v>
      </c>
      <c r="F23" t="s">
        <v>30</v>
      </c>
      <c r="G23">
        <v>6536.09</v>
      </c>
      <c r="H23">
        <v>0.13</v>
      </c>
      <c r="I23">
        <v>0.17</v>
      </c>
      <c r="J23">
        <v>44</v>
      </c>
      <c r="K23">
        <v>5.41</v>
      </c>
      <c r="L23">
        <v>5.74</v>
      </c>
      <c r="M23">
        <v>8</v>
      </c>
      <c r="N23">
        <v>5</v>
      </c>
      <c r="O23">
        <v>5</v>
      </c>
      <c r="P23">
        <v>4</v>
      </c>
      <c r="Q23">
        <v>2761</v>
      </c>
      <c r="R23" t="s">
        <v>23</v>
      </c>
      <c r="S23" t="s">
        <v>24</v>
      </c>
      <c r="T23">
        <v>1</v>
      </c>
      <c r="U23">
        <v>6536.09</v>
      </c>
    </row>
    <row r="24" spans="1:21" x14ac:dyDescent="0.35">
      <c r="A24">
        <v>8074</v>
      </c>
      <c r="B24">
        <v>35</v>
      </c>
      <c r="C24" t="s">
        <v>21</v>
      </c>
      <c r="D24">
        <v>144866</v>
      </c>
      <c r="E24" t="s">
        <v>22</v>
      </c>
      <c r="F24" t="s">
        <v>26</v>
      </c>
      <c r="G24">
        <v>6808.22</v>
      </c>
      <c r="H24">
        <v>0.06</v>
      </c>
      <c r="I24">
        <v>0.09</v>
      </c>
      <c r="J24">
        <v>49</v>
      </c>
      <c r="K24">
        <v>3.81</v>
      </c>
      <c r="L24">
        <v>5.69</v>
      </c>
      <c r="M24">
        <v>0</v>
      </c>
      <c r="N24">
        <v>8</v>
      </c>
      <c r="O24">
        <v>1</v>
      </c>
      <c r="P24">
        <v>8</v>
      </c>
      <c r="Q24">
        <v>3483</v>
      </c>
      <c r="R24" t="s">
        <v>23</v>
      </c>
      <c r="S24" t="s">
        <v>24</v>
      </c>
      <c r="T24">
        <v>1</v>
      </c>
      <c r="U24">
        <v>6808.22</v>
      </c>
    </row>
    <row r="25" spans="1:21" x14ac:dyDescent="0.35">
      <c r="A25">
        <v>8084</v>
      </c>
      <c r="B25">
        <v>25</v>
      </c>
      <c r="C25" t="s">
        <v>27</v>
      </c>
      <c r="D25">
        <v>129122</v>
      </c>
      <c r="E25" t="s">
        <v>31</v>
      </c>
      <c r="F25" t="s">
        <v>30</v>
      </c>
      <c r="G25">
        <v>6979.08</v>
      </c>
      <c r="H25">
        <v>7.0000000000000007E-2</v>
      </c>
      <c r="I25">
        <v>0.1</v>
      </c>
      <c r="J25">
        <v>16</v>
      </c>
      <c r="K25">
        <v>6.24</v>
      </c>
      <c r="L25">
        <v>10.67</v>
      </c>
      <c r="M25">
        <v>59</v>
      </c>
      <c r="N25">
        <v>10</v>
      </c>
      <c r="O25">
        <v>6</v>
      </c>
      <c r="P25">
        <v>5</v>
      </c>
      <c r="Q25">
        <v>928</v>
      </c>
      <c r="R25" t="s">
        <v>23</v>
      </c>
      <c r="S25" t="s">
        <v>24</v>
      </c>
      <c r="T25">
        <v>1</v>
      </c>
      <c r="U25">
        <v>6979.08</v>
      </c>
    </row>
    <row r="26" spans="1:21" x14ac:dyDescent="0.35">
      <c r="A26">
        <v>8085</v>
      </c>
      <c r="B26">
        <v>31</v>
      </c>
      <c r="C26" t="s">
        <v>21</v>
      </c>
      <c r="D26">
        <v>52259</v>
      </c>
      <c r="E26" t="s">
        <v>29</v>
      </c>
      <c r="F26" t="s">
        <v>26</v>
      </c>
      <c r="G26">
        <v>6053.54</v>
      </c>
      <c r="H26">
        <v>0.22</v>
      </c>
      <c r="I26">
        <v>0.06</v>
      </c>
      <c r="J26">
        <v>25</v>
      </c>
      <c r="K26">
        <v>6.49</v>
      </c>
      <c r="L26">
        <v>13.54</v>
      </c>
      <c r="M26">
        <v>87</v>
      </c>
      <c r="N26">
        <v>5</v>
      </c>
      <c r="O26">
        <v>1</v>
      </c>
      <c r="P26">
        <v>1</v>
      </c>
      <c r="Q26">
        <v>1884</v>
      </c>
      <c r="R26" t="s">
        <v>23</v>
      </c>
      <c r="S26" t="s">
        <v>24</v>
      </c>
      <c r="T26">
        <v>1</v>
      </c>
      <c r="U26">
        <v>6053.54</v>
      </c>
    </row>
    <row r="27" spans="1:21" x14ac:dyDescent="0.35">
      <c r="A27">
        <v>8087</v>
      </c>
      <c r="B27">
        <v>57</v>
      </c>
      <c r="C27" t="s">
        <v>21</v>
      </c>
      <c r="D27">
        <v>106284</v>
      </c>
      <c r="E27" t="s">
        <v>28</v>
      </c>
      <c r="F27" t="s">
        <v>26</v>
      </c>
      <c r="G27">
        <v>9033.8799999999992</v>
      </c>
      <c r="H27">
        <v>0.16</v>
      </c>
      <c r="I27">
        <v>0.02</v>
      </c>
      <c r="J27">
        <v>43</v>
      </c>
      <c r="K27">
        <v>6.34</v>
      </c>
      <c r="L27">
        <v>1</v>
      </c>
      <c r="M27">
        <v>38</v>
      </c>
      <c r="N27">
        <v>6</v>
      </c>
      <c r="O27">
        <v>9</v>
      </c>
      <c r="P27">
        <v>9</v>
      </c>
      <c r="Q27">
        <v>932</v>
      </c>
      <c r="R27" t="s">
        <v>23</v>
      </c>
      <c r="S27" t="s">
        <v>24</v>
      </c>
      <c r="T27">
        <v>1</v>
      </c>
      <c r="U27">
        <v>9033.8799999999992</v>
      </c>
    </row>
    <row r="28" spans="1:21" x14ac:dyDescent="0.35">
      <c r="A28">
        <v>8088</v>
      </c>
      <c r="B28">
        <v>38</v>
      </c>
      <c r="C28" t="s">
        <v>21</v>
      </c>
      <c r="D28">
        <v>105227</v>
      </c>
      <c r="E28" t="s">
        <v>28</v>
      </c>
      <c r="F28" t="s">
        <v>26</v>
      </c>
      <c r="G28">
        <v>3027.52</v>
      </c>
      <c r="H28">
        <v>0.09</v>
      </c>
      <c r="I28">
        <v>0.19</v>
      </c>
      <c r="J28">
        <v>6</v>
      </c>
      <c r="K28">
        <v>7.77</v>
      </c>
      <c r="L28">
        <v>6.03</v>
      </c>
      <c r="M28">
        <v>2</v>
      </c>
      <c r="N28">
        <v>15</v>
      </c>
      <c r="O28">
        <v>6</v>
      </c>
      <c r="P28">
        <v>3</v>
      </c>
      <c r="Q28">
        <v>3472</v>
      </c>
      <c r="R28" t="s">
        <v>23</v>
      </c>
      <c r="S28" t="s">
        <v>24</v>
      </c>
      <c r="T28">
        <v>1</v>
      </c>
      <c r="U28">
        <v>3027.52</v>
      </c>
    </row>
    <row r="29" spans="1:21" x14ac:dyDescent="0.35">
      <c r="A29">
        <v>8090</v>
      </c>
      <c r="B29">
        <v>62</v>
      </c>
      <c r="C29" t="s">
        <v>27</v>
      </c>
      <c r="D29">
        <v>63560</v>
      </c>
      <c r="E29" t="s">
        <v>25</v>
      </c>
      <c r="F29" t="s">
        <v>30</v>
      </c>
      <c r="G29">
        <v>2047.73</v>
      </c>
      <c r="H29">
        <v>0.21</v>
      </c>
      <c r="I29">
        <v>0.08</v>
      </c>
      <c r="J29">
        <v>34</v>
      </c>
      <c r="K29">
        <v>6.91</v>
      </c>
      <c r="L29">
        <v>9.8699999999999992</v>
      </c>
      <c r="M29">
        <v>67</v>
      </c>
      <c r="N29">
        <v>12</v>
      </c>
      <c r="O29">
        <v>5</v>
      </c>
      <c r="P29">
        <v>4</v>
      </c>
      <c r="Q29">
        <v>3897</v>
      </c>
      <c r="R29" t="s">
        <v>23</v>
      </c>
      <c r="S29" t="s">
        <v>24</v>
      </c>
      <c r="T29">
        <v>1</v>
      </c>
      <c r="U29">
        <v>2047.73</v>
      </c>
    </row>
    <row r="30" spans="1:21" x14ac:dyDescent="0.35">
      <c r="A30">
        <v>8092</v>
      </c>
      <c r="B30">
        <v>64</v>
      </c>
      <c r="C30" t="s">
        <v>27</v>
      </c>
      <c r="D30">
        <v>26125</v>
      </c>
      <c r="E30" t="s">
        <v>22</v>
      </c>
      <c r="F30" t="s">
        <v>19</v>
      </c>
      <c r="G30">
        <v>3258.04</v>
      </c>
      <c r="H30">
        <v>0.22</v>
      </c>
      <c r="I30">
        <v>0.15</v>
      </c>
      <c r="J30">
        <v>46</v>
      </c>
      <c r="K30">
        <v>5</v>
      </c>
      <c r="L30">
        <v>12.41</v>
      </c>
      <c r="M30">
        <v>66</v>
      </c>
      <c r="N30">
        <v>0</v>
      </c>
      <c r="O30">
        <v>7</v>
      </c>
      <c r="P30">
        <v>8</v>
      </c>
      <c r="Q30">
        <v>2324</v>
      </c>
      <c r="R30" t="s">
        <v>23</v>
      </c>
      <c r="S30" t="s">
        <v>24</v>
      </c>
      <c r="T30">
        <v>1</v>
      </c>
      <c r="U30">
        <v>3258.04</v>
      </c>
    </row>
    <row r="31" spans="1:21" x14ac:dyDescent="0.35">
      <c r="A31">
        <v>8094</v>
      </c>
      <c r="B31">
        <v>43</v>
      </c>
      <c r="C31" t="s">
        <v>21</v>
      </c>
      <c r="D31">
        <v>24838</v>
      </c>
      <c r="E31" t="s">
        <v>25</v>
      </c>
      <c r="F31" t="s">
        <v>32</v>
      </c>
      <c r="G31">
        <v>6550.14</v>
      </c>
      <c r="H31">
        <v>0.19</v>
      </c>
      <c r="I31">
        <v>0.2</v>
      </c>
      <c r="J31">
        <v>43</v>
      </c>
      <c r="K31">
        <v>6.64</v>
      </c>
      <c r="L31">
        <v>8.42</v>
      </c>
      <c r="M31">
        <v>57</v>
      </c>
      <c r="N31">
        <v>15</v>
      </c>
      <c r="O31">
        <v>9</v>
      </c>
      <c r="P31">
        <v>5</v>
      </c>
      <c r="Q31">
        <v>3006</v>
      </c>
      <c r="R31" t="s">
        <v>23</v>
      </c>
      <c r="S31" t="s">
        <v>24</v>
      </c>
      <c r="T31">
        <v>1</v>
      </c>
      <c r="U31">
        <v>6550.14</v>
      </c>
    </row>
    <row r="32" spans="1:21" x14ac:dyDescent="0.35">
      <c r="A32">
        <v>8096</v>
      </c>
      <c r="B32">
        <v>62</v>
      </c>
      <c r="C32" t="s">
        <v>21</v>
      </c>
      <c r="D32">
        <v>77429</v>
      </c>
      <c r="E32" t="s">
        <v>25</v>
      </c>
      <c r="F32" t="s">
        <v>26</v>
      </c>
      <c r="G32">
        <v>7909.34</v>
      </c>
      <c r="H32">
        <v>0.06</v>
      </c>
      <c r="I32">
        <v>0.16</v>
      </c>
      <c r="J32">
        <v>0</v>
      </c>
      <c r="K32">
        <v>4.0199999999999996</v>
      </c>
      <c r="L32">
        <v>5.8</v>
      </c>
      <c r="M32">
        <v>52</v>
      </c>
      <c r="N32">
        <v>11</v>
      </c>
      <c r="O32">
        <v>0</v>
      </c>
      <c r="P32">
        <v>3</v>
      </c>
      <c r="Q32">
        <v>3482</v>
      </c>
      <c r="R32" t="s">
        <v>23</v>
      </c>
      <c r="S32" t="s">
        <v>24</v>
      </c>
      <c r="T32">
        <v>1</v>
      </c>
      <c r="U32">
        <v>7909.34</v>
      </c>
    </row>
    <row r="33" spans="1:21" x14ac:dyDescent="0.35">
      <c r="A33">
        <v>8097</v>
      </c>
      <c r="B33">
        <v>58</v>
      </c>
      <c r="C33" t="s">
        <v>27</v>
      </c>
      <c r="D33">
        <v>23134</v>
      </c>
      <c r="E33" t="s">
        <v>29</v>
      </c>
      <c r="F33" t="s">
        <v>32</v>
      </c>
      <c r="G33">
        <v>5091.78</v>
      </c>
      <c r="H33">
        <v>0.19</v>
      </c>
      <c r="I33">
        <v>0.03</v>
      </c>
      <c r="J33">
        <v>24</v>
      </c>
      <c r="K33">
        <v>9.94</v>
      </c>
      <c r="L33">
        <v>1.3</v>
      </c>
      <c r="M33">
        <v>13</v>
      </c>
      <c r="N33">
        <v>8</v>
      </c>
      <c r="O33">
        <v>7</v>
      </c>
      <c r="P33">
        <v>4</v>
      </c>
      <c r="Q33">
        <v>205</v>
      </c>
      <c r="R33" t="s">
        <v>23</v>
      </c>
      <c r="S33" t="s">
        <v>24</v>
      </c>
      <c r="T33">
        <v>1</v>
      </c>
      <c r="U33">
        <v>5091.78</v>
      </c>
    </row>
    <row r="34" spans="1:21" x14ac:dyDescent="0.35">
      <c r="A34">
        <v>8102</v>
      </c>
      <c r="B34">
        <v>42</v>
      </c>
      <c r="C34" t="s">
        <v>27</v>
      </c>
      <c r="D34">
        <v>53822</v>
      </c>
      <c r="E34" t="s">
        <v>28</v>
      </c>
      <c r="F34" t="s">
        <v>30</v>
      </c>
      <c r="G34">
        <v>1031.98</v>
      </c>
      <c r="H34">
        <v>0.15</v>
      </c>
      <c r="I34">
        <v>0.1</v>
      </c>
      <c r="J34">
        <v>38</v>
      </c>
      <c r="K34">
        <v>6.95</v>
      </c>
      <c r="L34">
        <v>10.16</v>
      </c>
      <c r="M34">
        <v>62</v>
      </c>
      <c r="N34">
        <v>9</v>
      </c>
      <c r="O34">
        <v>1</v>
      </c>
      <c r="P34">
        <v>5</v>
      </c>
      <c r="Q34">
        <v>1506</v>
      </c>
      <c r="R34" t="s">
        <v>23</v>
      </c>
      <c r="S34" t="s">
        <v>24</v>
      </c>
      <c r="T34">
        <v>1</v>
      </c>
      <c r="U34">
        <v>1031.98</v>
      </c>
    </row>
    <row r="35" spans="1:21" x14ac:dyDescent="0.35">
      <c r="A35">
        <v>8103</v>
      </c>
      <c r="B35">
        <v>24</v>
      </c>
      <c r="C35" t="s">
        <v>27</v>
      </c>
      <c r="D35">
        <v>113513</v>
      </c>
      <c r="E35" t="s">
        <v>31</v>
      </c>
      <c r="F35" t="s">
        <v>26</v>
      </c>
      <c r="G35">
        <v>3097.02</v>
      </c>
      <c r="H35">
        <v>0.28999999999999998</v>
      </c>
      <c r="I35">
        <v>0.19</v>
      </c>
      <c r="J35">
        <v>2</v>
      </c>
      <c r="K35">
        <v>3.8</v>
      </c>
      <c r="L35">
        <v>13.83</v>
      </c>
      <c r="M35">
        <v>60</v>
      </c>
      <c r="N35">
        <v>2</v>
      </c>
      <c r="O35">
        <v>4</v>
      </c>
      <c r="P35">
        <v>2</v>
      </c>
      <c r="Q35">
        <v>1821</v>
      </c>
      <c r="R35" t="s">
        <v>23</v>
      </c>
      <c r="S35" t="s">
        <v>24</v>
      </c>
      <c r="T35">
        <v>1</v>
      </c>
      <c r="U35">
        <v>3097.02</v>
      </c>
    </row>
    <row r="36" spans="1:21" x14ac:dyDescent="0.35">
      <c r="A36">
        <v>8105</v>
      </c>
      <c r="B36">
        <v>41</v>
      </c>
      <c r="C36" t="s">
        <v>27</v>
      </c>
      <c r="D36">
        <v>83594</v>
      </c>
      <c r="E36" t="s">
        <v>31</v>
      </c>
      <c r="F36" t="s">
        <v>30</v>
      </c>
      <c r="G36">
        <v>6610.06</v>
      </c>
      <c r="H36">
        <v>0.26</v>
      </c>
      <c r="I36">
        <v>0.09</v>
      </c>
      <c r="J36">
        <v>44</v>
      </c>
      <c r="K36">
        <v>4.41</v>
      </c>
      <c r="L36">
        <v>1.08</v>
      </c>
      <c r="M36">
        <v>36</v>
      </c>
      <c r="N36">
        <v>11</v>
      </c>
      <c r="O36">
        <v>6</v>
      </c>
      <c r="P36">
        <v>5</v>
      </c>
      <c r="Q36">
        <v>360</v>
      </c>
      <c r="R36" t="s">
        <v>23</v>
      </c>
      <c r="S36" t="s">
        <v>24</v>
      </c>
      <c r="T36">
        <v>1</v>
      </c>
      <c r="U36">
        <v>6610.06</v>
      </c>
    </row>
    <row r="37" spans="1:21" x14ac:dyDescent="0.35">
      <c r="A37">
        <v>8107</v>
      </c>
      <c r="B37">
        <v>61</v>
      </c>
      <c r="C37" t="s">
        <v>27</v>
      </c>
      <c r="D37">
        <v>22669</v>
      </c>
      <c r="E37" t="s">
        <v>22</v>
      </c>
      <c r="F37" t="s">
        <v>32</v>
      </c>
      <c r="G37">
        <v>1206.6600000000001</v>
      </c>
      <c r="H37">
        <v>0.16</v>
      </c>
      <c r="I37">
        <v>0.19</v>
      </c>
      <c r="J37">
        <v>38</v>
      </c>
      <c r="K37">
        <v>5.6</v>
      </c>
      <c r="L37">
        <v>8.41</v>
      </c>
      <c r="M37">
        <v>88</v>
      </c>
      <c r="N37">
        <v>13</v>
      </c>
      <c r="O37">
        <v>4</v>
      </c>
      <c r="P37">
        <v>6</v>
      </c>
      <c r="Q37">
        <v>3502</v>
      </c>
      <c r="R37" t="s">
        <v>23</v>
      </c>
      <c r="S37" t="s">
        <v>24</v>
      </c>
      <c r="T37">
        <v>1</v>
      </c>
      <c r="U37">
        <v>1206.6600000000001</v>
      </c>
    </row>
    <row r="38" spans="1:21" x14ac:dyDescent="0.35">
      <c r="A38">
        <v>8117</v>
      </c>
      <c r="B38">
        <v>22</v>
      </c>
      <c r="C38" t="s">
        <v>27</v>
      </c>
      <c r="D38">
        <v>36289</v>
      </c>
      <c r="E38" t="s">
        <v>25</v>
      </c>
      <c r="F38" t="s">
        <v>26</v>
      </c>
      <c r="G38">
        <v>4201.3900000000003</v>
      </c>
      <c r="H38">
        <v>0.09</v>
      </c>
      <c r="I38">
        <v>0.19</v>
      </c>
      <c r="J38">
        <v>14</v>
      </c>
      <c r="K38">
        <v>3.94</v>
      </c>
      <c r="L38">
        <v>12.39</v>
      </c>
      <c r="M38">
        <v>57</v>
      </c>
      <c r="N38">
        <v>6</v>
      </c>
      <c r="O38">
        <v>9</v>
      </c>
      <c r="P38">
        <v>9</v>
      </c>
      <c r="Q38">
        <v>4669</v>
      </c>
      <c r="R38" t="s">
        <v>23</v>
      </c>
      <c r="S38" t="s">
        <v>24</v>
      </c>
      <c r="T38">
        <v>1</v>
      </c>
      <c r="U38">
        <v>4201.3900000000003</v>
      </c>
    </row>
    <row r="39" spans="1:21" x14ac:dyDescent="0.35">
      <c r="A39">
        <v>8118</v>
      </c>
      <c r="B39">
        <v>59</v>
      </c>
      <c r="C39" t="s">
        <v>21</v>
      </c>
      <c r="D39">
        <v>44406</v>
      </c>
      <c r="E39" t="s">
        <v>29</v>
      </c>
      <c r="F39" t="s">
        <v>19</v>
      </c>
      <c r="G39">
        <v>2013.37</v>
      </c>
      <c r="H39">
        <v>0.28000000000000003</v>
      </c>
      <c r="I39">
        <v>0.04</v>
      </c>
      <c r="J39">
        <v>31</v>
      </c>
      <c r="K39">
        <v>1.73</v>
      </c>
      <c r="L39">
        <v>13.98</v>
      </c>
      <c r="M39">
        <v>39</v>
      </c>
      <c r="N39">
        <v>10</v>
      </c>
      <c r="O39">
        <v>0</v>
      </c>
      <c r="P39">
        <v>9</v>
      </c>
      <c r="Q39">
        <v>2597</v>
      </c>
      <c r="R39" t="s">
        <v>23</v>
      </c>
      <c r="S39" t="s">
        <v>24</v>
      </c>
      <c r="T39">
        <v>1</v>
      </c>
      <c r="U39">
        <v>2013.37</v>
      </c>
    </row>
    <row r="40" spans="1:21" x14ac:dyDescent="0.35">
      <c r="A40">
        <v>8121</v>
      </c>
      <c r="B40">
        <v>45</v>
      </c>
      <c r="C40" t="s">
        <v>21</v>
      </c>
      <c r="D40">
        <v>32873</v>
      </c>
      <c r="E40" t="s">
        <v>28</v>
      </c>
      <c r="F40" t="s">
        <v>19</v>
      </c>
      <c r="G40">
        <v>1200.55</v>
      </c>
      <c r="H40">
        <v>0.05</v>
      </c>
      <c r="I40">
        <v>0.11</v>
      </c>
      <c r="J40">
        <v>11</v>
      </c>
      <c r="K40">
        <v>7.89</v>
      </c>
      <c r="L40">
        <v>11.28</v>
      </c>
      <c r="M40">
        <v>90</v>
      </c>
      <c r="N40">
        <v>14</v>
      </c>
      <c r="O40">
        <v>6</v>
      </c>
      <c r="P40">
        <v>7</v>
      </c>
      <c r="Q40">
        <v>3336</v>
      </c>
      <c r="R40" t="s">
        <v>23</v>
      </c>
      <c r="S40" t="s">
        <v>24</v>
      </c>
      <c r="T40">
        <v>1</v>
      </c>
      <c r="U40">
        <v>1200.55</v>
      </c>
    </row>
    <row r="41" spans="1:21" x14ac:dyDescent="0.35">
      <c r="A41">
        <v>8122</v>
      </c>
      <c r="B41">
        <v>24</v>
      </c>
      <c r="C41" t="s">
        <v>21</v>
      </c>
      <c r="D41">
        <v>145812</v>
      </c>
      <c r="E41" t="s">
        <v>31</v>
      </c>
      <c r="F41" t="s">
        <v>30</v>
      </c>
      <c r="G41">
        <v>505.86</v>
      </c>
      <c r="H41">
        <v>0.09</v>
      </c>
      <c r="I41">
        <v>0.15</v>
      </c>
      <c r="J41">
        <v>24</v>
      </c>
      <c r="K41">
        <v>4.45</v>
      </c>
      <c r="L41">
        <v>6.9</v>
      </c>
      <c r="M41">
        <v>14</v>
      </c>
      <c r="N41">
        <v>1</v>
      </c>
      <c r="O41">
        <v>6</v>
      </c>
      <c r="P41">
        <v>2</v>
      </c>
      <c r="Q41">
        <v>4108</v>
      </c>
      <c r="R41" t="s">
        <v>23</v>
      </c>
      <c r="S41" t="s">
        <v>24</v>
      </c>
      <c r="T41">
        <v>1</v>
      </c>
      <c r="U41">
        <v>505.86</v>
      </c>
    </row>
    <row r="42" spans="1:21" x14ac:dyDescent="0.35">
      <c r="A42">
        <v>8123</v>
      </c>
      <c r="B42">
        <v>26</v>
      </c>
      <c r="C42" t="s">
        <v>27</v>
      </c>
      <c r="D42">
        <v>102048</v>
      </c>
      <c r="E42" t="s">
        <v>31</v>
      </c>
      <c r="F42" t="s">
        <v>19</v>
      </c>
      <c r="G42">
        <v>3407.38</v>
      </c>
      <c r="H42">
        <v>0.18</v>
      </c>
      <c r="I42">
        <v>0.17</v>
      </c>
      <c r="J42">
        <v>33</v>
      </c>
      <c r="K42">
        <v>1.71</v>
      </c>
      <c r="L42">
        <v>6.2</v>
      </c>
      <c r="M42">
        <v>84</v>
      </c>
      <c r="N42">
        <v>11</v>
      </c>
      <c r="O42">
        <v>7</v>
      </c>
      <c r="P42">
        <v>9</v>
      </c>
      <c r="Q42">
        <v>3310</v>
      </c>
      <c r="R42" t="s">
        <v>23</v>
      </c>
      <c r="S42" t="s">
        <v>24</v>
      </c>
      <c r="T42">
        <v>1</v>
      </c>
      <c r="U42">
        <v>3407.38</v>
      </c>
    </row>
    <row r="43" spans="1:21" x14ac:dyDescent="0.35">
      <c r="A43">
        <v>8126</v>
      </c>
      <c r="B43">
        <v>51</v>
      </c>
      <c r="C43" t="s">
        <v>21</v>
      </c>
      <c r="D43">
        <v>40710</v>
      </c>
      <c r="E43" t="s">
        <v>28</v>
      </c>
      <c r="F43" t="s">
        <v>19</v>
      </c>
      <c r="G43">
        <v>5506.02</v>
      </c>
      <c r="H43">
        <v>0.26</v>
      </c>
      <c r="I43">
        <v>0.16</v>
      </c>
      <c r="J43">
        <v>44</v>
      </c>
      <c r="K43">
        <v>2.62</v>
      </c>
      <c r="L43">
        <v>3.68</v>
      </c>
      <c r="M43">
        <v>4</v>
      </c>
      <c r="N43">
        <v>9</v>
      </c>
      <c r="O43">
        <v>9</v>
      </c>
      <c r="P43">
        <v>4</v>
      </c>
      <c r="Q43">
        <v>4652</v>
      </c>
      <c r="R43" t="s">
        <v>23</v>
      </c>
      <c r="S43" t="s">
        <v>24</v>
      </c>
      <c r="T43">
        <v>1</v>
      </c>
      <c r="U43">
        <v>5506.02</v>
      </c>
    </row>
    <row r="44" spans="1:21" x14ac:dyDescent="0.35">
      <c r="A44">
        <v>8128</v>
      </c>
      <c r="B44">
        <v>65</v>
      </c>
      <c r="C44" t="s">
        <v>27</v>
      </c>
      <c r="D44">
        <v>33448</v>
      </c>
      <c r="E44" t="s">
        <v>29</v>
      </c>
      <c r="F44" t="s">
        <v>26</v>
      </c>
      <c r="G44">
        <v>8018.6</v>
      </c>
      <c r="H44">
        <v>7.0000000000000007E-2</v>
      </c>
      <c r="I44">
        <v>0.06</v>
      </c>
      <c r="J44">
        <v>24</v>
      </c>
      <c r="K44">
        <v>5.82</v>
      </c>
      <c r="L44">
        <v>2.46</v>
      </c>
      <c r="M44">
        <v>69</v>
      </c>
      <c r="N44">
        <v>7</v>
      </c>
      <c r="O44">
        <v>8</v>
      </c>
      <c r="P44">
        <v>3</v>
      </c>
      <c r="Q44">
        <v>596</v>
      </c>
      <c r="R44" t="s">
        <v>23</v>
      </c>
      <c r="S44" t="s">
        <v>24</v>
      </c>
      <c r="T44">
        <v>1</v>
      </c>
      <c r="U44">
        <v>8018.6</v>
      </c>
    </row>
    <row r="45" spans="1:21" x14ac:dyDescent="0.35">
      <c r="A45">
        <v>8130</v>
      </c>
      <c r="B45">
        <v>41</v>
      </c>
      <c r="C45" t="s">
        <v>21</v>
      </c>
      <c r="D45">
        <v>93158</v>
      </c>
      <c r="E45" t="s">
        <v>25</v>
      </c>
      <c r="F45" t="s">
        <v>19</v>
      </c>
      <c r="G45">
        <v>6150.43</v>
      </c>
      <c r="H45">
        <v>0.05</v>
      </c>
      <c r="I45">
        <v>0.2</v>
      </c>
      <c r="J45">
        <v>13</v>
      </c>
      <c r="K45">
        <v>5.08</v>
      </c>
      <c r="L45">
        <v>3.67</v>
      </c>
      <c r="M45">
        <v>27</v>
      </c>
      <c r="N45">
        <v>19</v>
      </c>
      <c r="O45">
        <v>6</v>
      </c>
      <c r="P45">
        <v>5</v>
      </c>
      <c r="Q45">
        <v>2530</v>
      </c>
      <c r="R45" t="s">
        <v>23</v>
      </c>
      <c r="S45" t="s">
        <v>24</v>
      </c>
      <c r="T45">
        <v>1</v>
      </c>
      <c r="U45">
        <v>6150.43</v>
      </c>
    </row>
    <row r="46" spans="1:21" x14ac:dyDescent="0.35">
      <c r="A46">
        <v>8131</v>
      </c>
      <c r="B46">
        <v>54</v>
      </c>
      <c r="C46" t="s">
        <v>21</v>
      </c>
      <c r="D46">
        <v>126384</v>
      </c>
      <c r="E46" t="s">
        <v>31</v>
      </c>
      <c r="F46" t="s">
        <v>19</v>
      </c>
      <c r="G46">
        <v>5210.55</v>
      </c>
      <c r="H46">
        <v>0.27</v>
      </c>
      <c r="I46">
        <v>0.08</v>
      </c>
      <c r="J46">
        <v>35</v>
      </c>
      <c r="K46">
        <v>9.39</v>
      </c>
      <c r="L46">
        <v>12.59</v>
      </c>
      <c r="M46">
        <v>53</v>
      </c>
      <c r="N46">
        <v>4</v>
      </c>
      <c r="O46">
        <v>6</v>
      </c>
      <c r="P46">
        <v>0</v>
      </c>
      <c r="Q46">
        <v>3755</v>
      </c>
      <c r="R46" t="s">
        <v>23</v>
      </c>
      <c r="S46" t="s">
        <v>24</v>
      </c>
      <c r="T46">
        <v>1</v>
      </c>
      <c r="U46">
        <v>5210.55</v>
      </c>
    </row>
    <row r="47" spans="1:21" x14ac:dyDescent="0.35">
      <c r="A47">
        <v>8142</v>
      </c>
      <c r="B47">
        <v>31</v>
      </c>
      <c r="C47" t="s">
        <v>21</v>
      </c>
      <c r="D47">
        <v>78186</v>
      </c>
      <c r="E47" t="s">
        <v>22</v>
      </c>
      <c r="F47" t="s">
        <v>32</v>
      </c>
      <c r="G47">
        <v>1508.76</v>
      </c>
      <c r="H47">
        <v>0.03</v>
      </c>
      <c r="I47">
        <v>0.03</v>
      </c>
      <c r="J47">
        <v>38</v>
      </c>
      <c r="K47">
        <v>5.53</v>
      </c>
      <c r="L47">
        <v>7.24</v>
      </c>
      <c r="M47">
        <v>12</v>
      </c>
      <c r="N47">
        <v>19</v>
      </c>
      <c r="O47">
        <v>0</v>
      </c>
      <c r="P47">
        <v>1</v>
      </c>
      <c r="Q47">
        <v>1913</v>
      </c>
      <c r="R47" t="s">
        <v>23</v>
      </c>
      <c r="S47" t="s">
        <v>24</v>
      </c>
      <c r="T47">
        <v>0</v>
      </c>
    </row>
    <row r="48" spans="1:21" x14ac:dyDescent="0.35">
      <c r="A48">
        <v>8147</v>
      </c>
      <c r="B48">
        <v>31</v>
      </c>
      <c r="C48" t="s">
        <v>27</v>
      </c>
      <c r="D48">
        <v>126887</v>
      </c>
      <c r="E48" t="s">
        <v>29</v>
      </c>
      <c r="F48" t="s">
        <v>19</v>
      </c>
      <c r="G48">
        <v>5141.04</v>
      </c>
      <c r="H48">
        <v>0.25</v>
      </c>
      <c r="I48">
        <v>0.02</v>
      </c>
      <c r="J48">
        <v>36</v>
      </c>
      <c r="K48">
        <v>5.64</v>
      </c>
      <c r="L48">
        <v>13.77</v>
      </c>
      <c r="M48">
        <v>58</v>
      </c>
      <c r="N48">
        <v>7</v>
      </c>
      <c r="O48">
        <v>7</v>
      </c>
      <c r="P48">
        <v>9</v>
      </c>
      <c r="Q48">
        <v>3096</v>
      </c>
      <c r="R48" t="s">
        <v>23</v>
      </c>
      <c r="S48" t="s">
        <v>24</v>
      </c>
      <c r="T48">
        <v>1</v>
      </c>
      <c r="U48">
        <v>5141.04</v>
      </c>
    </row>
    <row r="49" spans="1:21" x14ac:dyDescent="0.35">
      <c r="A49">
        <v>8149</v>
      </c>
      <c r="B49">
        <v>44</v>
      </c>
      <c r="C49" t="s">
        <v>27</v>
      </c>
      <c r="D49">
        <v>45476</v>
      </c>
      <c r="E49" t="s">
        <v>31</v>
      </c>
      <c r="F49" t="s">
        <v>30</v>
      </c>
      <c r="G49">
        <v>5423.01</v>
      </c>
      <c r="H49">
        <v>0.04</v>
      </c>
      <c r="I49">
        <v>0.18</v>
      </c>
      <c r="J49">
        <v>35</v>
      </c>
      <c r="K49">
        <v>3.29</v>
      </c>
      <c r="L49">
        <v>3.37</v>
      </c>
      <c r="M49">
        <v>71</v>
      </c>
      <c r="N49">
        <v>14</v>
      </c>
      <c r="O49">
        <v>6</v>
      </c>
      <c r="P49">
        <v>7</v>
      </c>
      <c r="Q49">
        <v>252</v>
      </c>
      <c r="R49" t="s">
        <v>23</v>
      </c>
      <c r="S49" t="s">
        <v>24</v>
      </c>
      <c r="T49">
        <v>1</v>
      </c>
      <c r="U49">
        <v>5423.01</v>
      </c>
    </row>
    <row r="50" spans="1:21" x14ac:dyDescent="0.35">
      <c r="A50">
        <v>8156</v>
      </c>
      <c r="B50">
        <v>68</v>
      </c>
      <c r="C50" t="s">
        <v>27</v>
      </c>
      <c r="D50">
        <v>51653</v>
      </c>
      <c r="E50" t="s">
        <v>31</v>
      </c>
      <c r="F50" t="s">
        <v>26</v>
      </c>
      <c r="G50">
        <v>4506.25</v>
      </c>
      <c r="H50">
        <v>0.25</v>
      </c>
      <c r="I50">
        <v>0.11</v>
      </c>
      <c r="J50">
        <v>7</v>
      </c>
      <c r="K50">
        <v>2.54</v>
      </c>
      <c r="L50">
        <v>12.72</v>
      </c>
      <c r="M50">
        <v>57</v>
      </c>
      <c r="N50">
        <v>18</v>
      </c>
      <c r="O50">
        <v>4</v>
      </c>
      <c r="P50">
        <v>4</v>
      </c>
      <c r="Q50">
        <v>2699</v>
      </c>
      <c r="R50" t="s">
        <v>23</v>
      </c>
      <c r="S50" t="s">
        <v>24</v>
      </c>
      <c r="T50">
        <v>1</v>
      </c>
      <c r="U50">
        <v>4506.25</v>
      </c>
    </row>
    <row r="51" spans="1:21" x14ac:dyDescent="0.35">
      <c r="A51">
        <v>8159</v>
      </c>
      <c r="B51">
        <v>66</v>
      </c>
      <c r="C51" t="s">
        <v>27</v>
      </c>
      <c r="D51">
        <v>39629</v>
      </c>
      <c r="E51" t="s">
        <v>25</v>
      </c>
      <c r="F51" t="s">
        <v>26</v>
      </c>
      <c r="G51">
        <v>1050.92</v>
      </c>
      <c r="H51">
        <v>0.15</v>
      </c>
      <c r="I51">
        <v>0.09</v>
      </c>
      <c r="J51">
        <v>15</v>
      </c>
      <c r="K51">
        <v>6.28</v>
      </c>
      <c r="L51">
        <v>6.79</v>
      </c>
      <c r="M51">
        <v>92</v>
      </c>
      <c r="N51">
        <v>11</v>
      </c>
      <c r="O51">
        <v>1</v>
      </c>
      <c r="P51">
        <v>5</v>
      </c>
      <c r="Q51">
        <v>2503</v>
      </c>
      <c r="R51" t="s">
        <v>23</v>
      </c>
      <c r="S51" t="s">
        <v>24</v>
      </c>
      <c r="T51">
        <v>1</v>
      </c>
      <c r="U51">
        <v>1050.92</v>
      </c>
    </row>
    <row r="52" spans="1:21" x14ac:dyDescent="0.35">
      <c r="A52">
        <v>8165</v>
      </c>
      <c r="B52">
        <v>40</v>
      </c>
      <c r="C52" t="s">
        <v>21</v>
      </c>
      <c r="D52">
        <v>39322</v>
      </c>
      <c r="E52" t="s">
        <v>29</v>
      </c>
      <c r="F52" t="s">
        <v>26</v>
      </c>
      <c r="G52">
        <v>1430.62</v>
      </c>
      <c r="H52">
        <v>0.17</v>
      </c>
      <c r="I52">
        <v>0.06</v>
      </c>
      <c r="J52">
        <v>33</v>
      </c>
      <c r="K52">
        <v>6.2</v>
      </c>
      <c r="L52">
        <v>10.86</v>
      </c>
      <c r="M52">
        <v>19</v>
      </c>
      <c r="N52">
        <v>8</v>
      </c>
      <c r="O52">
        <v>5</v>
      </c>
      <c r="P52">
        <v>0</v>
      </c>
      <c r="Q52">
        <v>1775</v>
      </c>
      <c r="R52" t="s">
        <v>23</v>
      </c>
      <c r="S52" t="s">
        <v>24</v>
      </c>
      <c r="T52">
        <v>1</v>
      </c>
      <c r="U52">
        <v>1430.62</v>
      </c>
    </row>
    <row r="53" spans="1:21" x14ac:dyDescent="0.35">
      <c r="A53">
        <v>8167</v>
      </c>
      <c r="B53">
        <v>62</v>
      </c>
      <c r="C53" t="s">
        <v>21</v>
      </c>
      <c r="D53">
        <v>135637</v>
      </c>
      <c r="E53" t="s">
        <v>29</v>
      </c>
      <c r="F53" t="s">
        <v>26</v>
      </c>
      <c r="G53">
        <v>5970.85</v>
      </c>
      <c r="H53">
        <v>0.23</v>
      </c>
      <c r="I53">
        <v>0.16</v>
      </c>
      <c r="J53">
        <v>39</v>
      </c>
      <c r="K53">
        <v>2.82</v>
      </c>
      <c r="L53">
        <v>9.6199999999999992</v>
      </c>
      <c r="M53">
        <v>25</v>
      </c>
      <c r="N53">
        <v>11</v>
      </c>
      <c r="O53">
        <v>8</v>
      </c>
      <c r="P53">
        <v>7</v>
      </c>
      <c r="Q53">
        <v>927</v>
      </c>
      <c r="R53" t="s">
        <v>23</v>
      </c>
      <c r="S53" t="s">
        <v>24</v>
      </c>
      <c r="T53">
        <v>1</v>
      </c>
      <c r="U53">
        <v>5970.85</v>
      </c>
    </row>
    <row r="54" spans="1:21" x14ac:dyDescent="0.35">
      <c r="A54">
        <v>8171</v>
      </c>
      <c r="B54">
        <v>53</v>
      </c>
      <c r="C54" t="s">
        <v>27</v>
      </c>
      <c r="D54">
        <v>122379</v>
      </c>
      <c r="E54" t="s">
        <v>25</v>
      </c>
      <c r="F54" t="s">
        <v>19</v>
      </c>
      <c r="G54">
        <v>2205.5</v>
      </c>
      <c r="H54">
        <v>0.27</v>
      </c>
      <c r="I54">
        <v>0.16</v>
      </c>
      <c r="J54">
        <v>26</v>
      </c>
      <c r="K54">
        <v>7.76</v>
      </c>
      <c r="L54">
        <v>1.27</v>
      </c>
      <c r="M54">
        <v>81</v>
      </c>
      <c r="N54">
        <v>4</v>
      </c>
      <c r="O54">
        <v>6</v>
      </c>
      <c r="P54">
        <v>0</v>
      </c>
      <c r="Q54">
        <v>3396</v>
      </c>
      <c r="R54" t="s">
        <v>23</v>
      </c>
      <c r="S54" t="s">
        <v>24</v>
      </c>
      <c r="T54">
        <v>1</v>
      </c>
      <c r="U54">
        <v>2205.5</v>
      </c>
    </row>
    <row r="55" spans="1:21" x14ac:dyDescent="0.35">
      <c r="A55">
        <v>8172</v>
      </c>
      <c r="B55">
        <v>30</v>
      </c>
      <c r="C55" t="s">
        <v>27</v>
      </c>
      <c r="D55">
        <v>32651</v>
      </c>
      <c r="E55" t="s">
        <v>28</v>
      </c>
      <c r="F55" t="s">
        <v>30</v>
      </c>
      <c r="G55">
        <v>6079.48</v>
      </c>
      <c r="H55">
        <v>0.12</v>
      </c>
      <c r="I55">
        <v>0.12</v>
      </c>
      <c r="J55">
        <v>18</v>
      </c>
      <c r="K55">
        <v>7.74</v>
      </c>
      <c r="L55">
        <v>8.4</v>
      </c>
      <c r="M55">
        <v>58</v>
      </c>
      <c r="N55">
        <v>11</v>
      </c>
      <c r="O55">
        <v>2</v>
      </c>
      <c r="P55">
        <v>0</v>
      </c>
      <c r="Q55">
        <v>3426</v>
      </c>
      <c r="R55" t="s">
        <v>23</v>
      </c>
      <c r="S55" t="s">
        <v>24</v>
      </c>
      <c r="T55">
        <v>1</v>
      </c>
      <c r="U55">
        <v>6079.48</v>
      </c>
    </row>
    <row r="56" spans="1:21" x14ac:dyDescent="0.35">
      <c r="A56">
        <v>8173</v>
      </c>
      <c r="B56">
        <v>49</v>
      </c>
      <c r="C56" t="s">
        <v>21</v>
      </c>
      <c r="D56">
        <v>45966</v>
      </c>
      <c r="E56" t="s">
        <v>25</v>
      </c>
      <c r="F56" t="s">
        <v>26</v>
      </c>
      <c r="G56">
        <v>9550.16</v>
      </c>
      <c r="H56">
        <v>0.24</v>
      </c>
      <c r="I56">
        <v>0.05</v>
      </c>
      <c r="J56">
        <v>25</v>
      </c>
      <c r="K56">
        <v>4.74</v>
      </c>
      <c r="L56">
        <v>5.72</v>
      </c>
      <c r="M56">
        <v>2</v>
      </c>
      <c r="N56">
        <v>11</v>
      </c>
      <c r="O56">
        <v>0</v>
      </c>
      <c r="P56">
        <v>2</v>
      </c>
      <c r="Q56">
        <v>3060</v>
      </c>
      <c r="R56" t="s">
        <v>23</v>
      </c>
      <c r="S56" t="s">
        <v>24</v>
      </c>
      <c r="T56">
        <v>1</v>
      </c>
      <c r="U56">
        <v>9550.16</v>
      </c>
    </row>
    <row r="57" spans="1:21" x14ac:dyDescent="0.35">
      <c r="A57">
        <v>8181</v>
      </c>
      <c r="B57">
        <v>23</v>
      </c>
      <c r="C57" t="s">
        <v>21</v>
      </c>
      <c r="D57">
        <v>59727</v>
      </c>
      <c r="E57" t="s">
        <v>29</v>
      </c>
      <c r="F57" t="s">
        <v>26</v>
      </c>
      <c r="G57">
        <v>7210.62</v>
      </c>
      <c r="H57">
        <v>0.09</v>
      </c>
      <c r="I57">
        <v>7.0000000000000007E-2</v>
      </c>
      <c r="J57">
        <v>26</v>
      </c>
      <c r="K57">
        <v>7.27</v>
      </c>
      <c r="L57">
        <v>1.08</v>
      </c>
      <c r="M57">
        <v>29</v>
      </c>
      <c r="N57">
        <v>14</v>
      </c>
      <c r="O57">
        <v>1</v>
      </c>
      <c r="P57">
        <v>9</v>
      </c>
      <c r="Q57">
        <v>126</v>
      </c>
      <c r="R57" t="s">
        <v>23</v>
      </c>
      <c r="S57" t="s">
        <v>24</v>
      </c>
      <c r="T57">
        <v>1</v>
      </c>
      <c r="U57">
        <v>7210.62</v>
      </c>
    </row>
    <row r="58" spans="1:21" x14ac:dyDescent="0.35">
      <c r="A58">
        <v>8190</v>
      </c>
      <c r="B58">
        <v>42</v>
      </c>
      <c r="C58" t="s">
        <v>21</v>
      </c>
      <c r="D58">
        <v>23476</v>
      </c>
      <c r="E58" t="s">
        <v>29</v>
      </c>
      <c r="F58" t="s">
        <v>32</v>
      </c>
      <c r="G58">
        <v>7128.01</v>
      </c>
      <c r="H58">
        <v>0.1</v>
      </c>
      <c r="I58">
        <v>0.09</v>
      </c>
      <c r="J58">
        <v>3</v>
      </c>
      <c r="K58">
        <v>9.75</v>
      </c>
      <c r="L58">
        <v>12.7</v>
      </c>
      <c r="M58">
        <v>56</v>
      </c>
      <c r="N58">
        <v>7</v>
      </c>
      <c r="O58">
        <v>7</v>
      </c>
      <c r="P58">
        <v>2</v>
      </c>
      <c r="Q58">
        <v>1278</v>
      </c>
      <c r="R58" t="s">
        <v>23</v>
      </c>
      <c r="S58" t="s">
        <v>24</v>
      </c>
      <c r="T58">
        <v>1</v>
      </c>
      <c r="U58">
        <v>7128.01</v>
      </c>
    </row>
    <row r="59" spans="1:21" x14ac:dyDescent="0.35">
      <c r="A59">
        <v>8194</v>
      </c>
      <c r="B59">
        <v>44</v>
      </c>
      <c r="C59" t="s">
        <v>27</v>
      </c>
      <c r="D59">
        <v>111269</v>
      </c>
      <c r="E59" t="s">
        <v>29</v>
      </c>
      <c r="F59" t="s">
        <v>30</v>
      </c>
      <c r="G59">
        <v>294.08</v>
      </c>
      <c r="H59">
        <v>0.18</v>
      </c>
      <c r="I59">
        <v>0.15</v>
      </c>
      <c r="J59">
        <v>20</v>
      </c>
      <c r="K59">
        <v>1.37</v>
      </c>
      <c r="L59">
        <v>10.18</v>
      </c>
      <c r="M59">
        <v>16</v>
      </c>
      <c r="N59">
        <v>10</v>
      </c>
      <c r="O59">
        <v>3</v>
      </c>
      <c r="P59">
        <v>2</v>
      </c>
      <c r="Q59">
        <v>1529</v>
      </c>
      <c r="R59" t="s">
        <v>23</v>
      </c>
      <c r="S59" t="s">
        <v>24</v>
      </c>
      <c r="T59">
        <v>1</v>
      </c>
      <c r="U59">
        <v>294.08</v>
      </c>
    </row>
    <row r="60" spans="1:21" x14ac:dyDescent="0.35">
      <c r="A60">
        <v>8195</v>
      </c>
      <c r="B60">
        <v>69</v>
      </c>
      <c r="C60" t="s">
        <v>21</v>
      </c>
      <c r="D60">
        <v>97994</v>
      </c>
      <c r="E60" t="s">
        <v>25</v>
      </c>
      <c r="F60" t="s">
        <v>30</v>
      </c>
      <c r="G60">
        <v>7190</v>
      </c>
      <c r="H60">
        <v>0.08</v>
      </c>
      <c r="I60">
        <v>0.03</v>
      </c>
      <c r="J60">
        <v>42</v>
      </c>
      <c r="K60">
        <v>8.4700000000000006</v>
      </c>
      <c r="L60">
        <v>14.23</v>
      </c>
      <c r="M60">
        <v>52</v>
      </c>
      <c r="N60">
        <v>7</v>
      </c>
      <c r="O60">
        <v>5</v>
      </c>
      <c r="P60">
        <v>1</v>
      </c>
      <c r="Q60">
        <v>50</v>
      </c>
      <c r="R60" t="s">
        <v>23</v>
      </c>
      <c r="S60" t="s">
        <v>24</v>
      </c>
      <c r="T60">
        <v>1</v>
      </c>
      <c r="U60">
        <v>7190</v>
      </c>
    </row>
    <row r="61" spans="1:21" x14ac:dyDescent="0.35">
      <c r="A61">
        <v>8196</v>
      </c>
      <c r="B61">
        <v>30</v>
      </c>
      <c r="C61" t="s">
        <v>21</v>
      </c>
      <c r="D61">
        <v>82878</v>
      </c>
      <c r="E61" t="s">
        <v>29</v>
      </c>
      <c r="F61" t="s">
        <v>32</v>
      </c>
      <c r="G61">
        <v>1110.4000000000001</v>
      </c>
      <c r="H61">
        <v>0.24</v>
      </c>
      <c r="I61">
        <v>0.17</v>
      </c>
      <c r="J61">
        <v>38</v>
      </c>
      <c r="K61">
        <v>7.65</v>
      </c>
      <c r="L61">
        <v>5.1100000000000003</v>
      </c>
      <c r="M61">
        <v>39</v>
      </c>
      <c r="N61">
        <v>5</v>
      </c>
      <c r="O61">
        <v>0</v>
      </c>
      <c r="P61">
        <v>0</v>
      </c>
      <c r="Q61">
        <v>844</v>
      </c>
      <c r="R61" t="s">
        <v>23</v>
      </c>
      <c r="S61" t="s">
        <v>24</v>
      </c>
      <c r="T61">
        <v>0</v>
      </c>
    </row>
    <row r="62" spans="1:21" x14ac:dyDescent="0.35">
      <c r="A62">
        <v>8201</v>
      </c>
      <c r="B62">
        <v>25</v>
      </c>
      <c r="C62" t="s">
        <v>21</v>
      </c>
      <c r="D62">
        <v>88560</v>
      </c>
      <c r="E62" t="s">
        <v>22</v>
      </c>
      <c r="F62" t="s">
        <v>30</v>
      </c>
      <c r="G62">
        <v>460.07</v>
      </c>
      <c r="H62">
        <v>0.08</v>
      </c>
      <c r="I62">
        <v>0.06</v>
      </c>
      <c r="J62">
        <v>43</v>
      </c>
      <c r="K62">
        <v>8.1999999999999993</v>
      </c>
      <c r="L62">
        <v>14.3</v>
      </c>
      <c r="M62">
        <v>71</v>
      </c>
      <c r="N62">
        <v>7</v>
      </c>
      <c r="O62">
        <v>1</v>
      </c>
      <c r="P62">
        <v>2</v>
      </c>
      <c r="Q62">
        <v>1764</v>
      </c>
      <c r="R62" t="s">
        <v>23</v>
      </c>
      <c r="S62" t="s">
        <v>24</v>
      </c>
      <c r="T62">
        <v>1</v>
      </c>
      <c r="U62">
        <v>460.07</v>
      </c>
    </row>
    <row r="63" spans="1:21" x14ac:dyDescent="0.35">
      <c r="A63">
        <v>8203</v>
      </c>
      <c r="B63">
        <v>26</v>
      </c>
      <c r="C63" t="s">
        <v>27</v>
      </c>
      <c r="D63">
        <v>82968</v>
      </c>
      <c r="E63" t="s">
        <v>29</v>
      </c>
      <c r="F63" t="s">
        <v>19</v>
      </c>
      <c r="G63">
        <v>6202.76</v>
      </c>
      <c r="H63">
        <v>0.24</v>
      </c>
      <c r="I63">
        <v>0.08</v>
      </c>
      <c r="J63">
        <v>32</v>
      </c>
      <c r="K63">
        <v>5.66</v>
      </c>
      <c r="L63">
        <v>3.7</v>
      </c>
      <c r="M63">
        <v>29</v>
      </c>
      <c r="N63">
        <v>9</v>
      </c>
      <c r="O63">
        <v>2</v>
      </c>
      <c r="P63">
        <v>3</v>
      </c>
      <c r="Q63">
        <v>1014</v>
      </c>
      <c r="R63" t="s">
        <v>23</v>
      </c>
      <c r="S63" t="s">
        <v>24</v>
      </c>
      <c r="T63">
        <v>1</v>
      </c>
      <c r="U63">
        <v>6202.76</v>
      </c>
    </row>
    <row r="64" spans="1:21" x14ac:dyDescent="0.35">
      <c r="A64">
        <v>8208</v>
      </c>
      <c r="B64">
        <v>61</v>
      </c>
      <c r="C64" t="s">
        <v>21</v>
      </c>
      <c r="D64">
        <v>26577</v>
      </c>
      <c r="E64" t="s">
        <v>29</v>
      </c>
      <c r="F64" t="s">
        <v>26</v>
      </c>
      <c r="G64">
        <v>6260.92</v>
      </c>
      <c r="H64">
        <v>0.28000000000000003</v>
      </c>
      <c r="I64">
        <v>0.01</v>
      </c>
      <c r="J64">
        <v>13</v>
      </c>
      <c r="K64">
        <v>7.98</v>
      </c>
      <c r="L64">
        <v>4.3600000000000003</v>
      </c>
      <c r="M64">
        <v>56</v>
      </c>
      <c r="N64">
        <v>3</v>
      </c>
      <c r="O64">
        <v>5</v>
      </c>
      <c r="P64">
        <v>8</v>
      </c>
      <c r="Q64">
        <v>446</v>
      </c>
      <c r="R64" t="s">
        <v>23</v>
      </c>
      <c r="S64" t="s">
        <v>24</v>
      </c>
      <c r="T64">
        <v>1</v>
      </c>
      <c r="U64">
        <v>6260.92</v>
      </c>
    </row>
    <row r="65" spans="1:21" x14ac:dyDescent="0.35">
      <c r="A65">
        <v>8209</v>
      </c>
      <c r="B65">
        <v>41</v>
      </c>
      <c r="C65" t="s">
        <v>21</v>
      </c>
      <c r="D65">
        <v>103171</v>
      </c>
      <c r="E65" t="s">
        <v>29</v>
      </c>
      <c r="F65" t="s">
        <v>19</v>
      </c>
      <c r="G65">
        <v>4259.0200000000004</v>
      </c>
      <c r="H65">
        <v>0.2</v>
      </c>
      <c r="I65">
        <v>0.19</v>
      </c>
      <c r="J65">
        <v>43</v>
      </c>
      <c r="K65">
        <v>8.25</v>
      </c>
      <c r="L65">
        <v>6.49</v>
      </c>
      <c r="M65">
        <v>69</v>
      </c>
      <c r="N65">
        <v>15</v>
      </c>
      <c r="O65">
        <v>0</v>
      </c>
      <c r="P65">
        <v>1</v>
      </c>
      <c r="Q65">
        <v>3419</v>
      </c>
      <c r="R65" t="s">
        <v>23</v>
      </c>
      <c r="S65" t="s">
        <v>24</v>
      </c>
      <c r="T65">
        <v>1</v>
      </c>
      <c r="U65">
        <v>4259.0200000000004</v>
      </c>
    </row>
    <row r="66" spans="1:21" x14ac:dyDescent="0.35">
      <c r="A66">
        <v>8211</v>
      </c>
      <c r="B66">
        <v>49</v>
      </c>
      <c r="C66" t="s">
        <v>21</v>
      </c>
      <c r="D66">
        <v>23870</v>
      </c>
      <c r="E66" t="s">
        <v>29</v>
      </c>
      <c r="F66" t="s">
        <v>26</v>
      </c>
      <c r="G66">
        <v>5282.04</v>
      </c>
      <c r="H66">
        <v>0.24</v>
      </c>
      <c r="I66">
        <v>0.19</v>
      </c>
      <c r="J66">
        <v>29</v>
      </c>
      <c r="K66">
        <v>5.26</v>
      </c>
      <c r="L66">
        <v>14.38</v>
      </c>
      <c r="M66">
        <v>76</v>
      </c>
      <c r="N66">
        <v>8</v>
      </c>
      <c r="O66">
        <v>4</v>
      </c>
      <c r="P66">
        <v>6</v>
      </c>
      <c r="Q66">
        <v>3153</v>
      </c>
      <c r="R66" t="s">
        <v>23</v>
      </c>
      <c r="S66" t="s">
        <v>24</v>
      </c>
      <c r="T66">
        <v>1</v>
      </c>
      <c r="U66">
        <v>5282.04</v>
      </c>
    </row>
    <row r="67" spans="1:21" x14ac:dyDescent="0.35">
      <c r="A67">
        <v>8213</v>
      </c>
      <c r="B67">
        <v>41</v>
      </c>
      <c r="C67" t="s">
        <v>21</v>
      </c>
      <c r="D67">
        <v>75329</v>
      </c>
      <c r="E67" t="s">
        <v>28</v>
      </c>
      <c r="F67" t="s">
        <v>19</v>
      </c>
      <c r="G67">
        <v>2308.23</v>
      </c>
      <c r="H67">
        <v>0.03</v>
      </c>
      <c r="I67">
        <v>0.05</v>
      </c>
      <c r="J67">
        <v>19</v>
      </c>
      <c r="K67">
        <v>5.48</v>
      </c>
      <c r="L67">
        <v>12.69</v>
      </c>
      <c r="M67">
        <v>24</v>
      </c>
      <c r="N67">
        <v>11</v>
      </c>
      <c r="O67">
        <v>7</v>
      </c>
      <c r="P67">
        <v>0</v>
      </c>
      <c r="Q67">
        <v>1720</v>
      </c>
      <c r="R67" t="s">
        <v>23</v>
      </c>
      <c r="S67" t="s">
        <v>24</v>
      </c>
      <c r="T67">
        <v>1</v>
      </c>
      <c r="U67">
        <v>2308.23</v>
      </c>
    </row>
    <row r="68" spans="1:21" x14ac:dyDescent="0.35">
      <c r="A68">
        <v>8215</v>
      </c>
      <c r="B68">
        <v>69</v>
      </c>
      <c r="C68" t="s">
        <v>21</v>
      </c>
      <c r="D68">
        <v>135049</v>
      </c>
      <c r="E68" t="s">
        <v>25</v>
      </c>
      <c r="F68" t="s">
        <v>26</v>
      </c>
      <c r="G68">
        <v>7007.48</v>
      </c>
      <c r="H68">
        <v>0.05</v>
      </c>
      <c r="I68">
        <v>0.13</v>
      </c>
      <c r="J68">
        <v>42</v>
      </c>
      <c r="K68">
        <v>9.2899999999999991</v>
      </c>
      <c r="L68">
        <v>12.92</v>
      </c>
      <c r="M68">
        <v>72</v>
      </c>
      <c r="N68">
        <v>3</v>
      </c>
      <c r="O68">
        <v>7</v>
      </c>
      <c r="P68">
        <v>9</v>
      </c>
      <c r="Q68">
        <v>2689</v>
      </c>
      <c r="R68" t="s">
        <v>23</v>
      </c>
      <c r="S68" t="s">
        <v>24</v>
      </c>
      <c r="T68">
        <v>1</v>
      </c>
      <c r="U68">
        <v>7007.48</v>
      </c>
    </row>
    <row r="69" spans="1:21" x14ac:dyDescent="0.35">
      <c r="A69">
        <v>8221</v>
      </c>
      <c r="B69">
        <v>19</v>
      </c>
      <c r="C69" t="s">
        <v>27</v>
      </c>
      <c r="D69">
        <v>33003</v>
      </c>
      <c r="E69" t="s">
        <v>29</v>
      </c>
      <c r="F69" t="s">
        <v>30</v>
      </c>
      <c r="G69">
        <v>8860.42</v>
      </c>
      <c r="H69">
        <v>0.19</v>
      </c>
      <c r="I69">
        <v>0.19</v>
      </c>
      <c r="J69">
        <v>1</v>
      </c>
      <c r="K69">
        <v>9.91</v>
      </c>
      <c r="L69">
        <v>12.03</v>
      </c>
      <c r="M69">
        <v>89</v>
      </c>
      <c r="N69">
        <v>7</v>
      </c>
      <c r="O69">
        <v>2</v>
      </c>
      <c r="P69">
        <v>4</v>
      </c>
      <c r="Q69">
        <v>3873</v>
      </c>
      <c r="R69" t="s">
        <v>23</v>
      </c>
      <c r="S69" t="s">
        <v>24</v>
      </c>
      <c r="T69">
        <v>1</v>
      </c>
      <c r="U69">
        <v>8860.42</v>
      </c>
    </row>
    <row r="70" spans="1:21" x14ac:dyDescent="0.35">
      <c r="A70">
        <v>8222</v>
      </c>
      <c r="B70">
        <v>20</v>
      </c>
      <c r="C70" t="s">
        <v>21</v>
      </c>
      <c r="D70">
        <v>128793</v>
      </c>
      <c r="E70" t="s">
        <v>31</v>
      </c>
      <c r="F70" t="s">
        <v>19</v>
      </c>
      <c r="G70">
        <v>7909.46</v>
      </c>
      <c r="H70">
        <v>7.0000000000000007E-2</v>
      </c>
      <c r="I70">
        <v>0.06</v>
      </c>
      <c r="J70">
        <v>21</v>
      </c>
      <c r="K70">
        <v>6.05</v>
      </c>
      <c r="L70">
        <v>13.17</v>
      </c>
      <c r="M70">
        <v>35</v>
      </c>
      <c r="N70">
        <v>4</v>
      </c>
      <c r="O70">
        <v>6</v>
      </c>
      <c r="P70">
        <v>0</v>
      </c>
      <c r="Q70">
        <v>2220</v>
      </c>
      <c r="R70" t="s">
        <v>23</v>
      </c>
      <c r="S70" t="s">
        <v>24</v>
      </c>
      <c r="T70">
        <v>1</v>
      </c>
      <c r="U70">
        <v>7909.46</v>
      </c>
    </row>
    <row r="71" spans="1:21" x14ac:dyDescent="0.35">
      <c r="A71">
        <v>8223</v>
      </c>
      <c r="B71">
        <v>66</v>
      </c>
      <c r="C71" t="s">
        <v>21</v>
      </c>
      <c r="D71">
        <v>79538</v>
      </c>
      <c r="E71" t="s">
        <v>28</v>
      </c>
      <c r="F71" t="s">
        <v>30</v>
      </c>
      <c r="G71">
        <v>2035.03</v>
      </c>
      <c r="H71">
        <v>0.09</v>
      </c>
      <c r="I71">
        <v>0.08</v>
      </c>
      <c r="J71">
        <v>12</v>
      </c>
      <c r="K71">
        <v>3.44</v>
      </c>
      <c r="L71">
        <v>13.04</v>
      </c>
      <c r="M71">
        <v>35</v>
      </c>
      <c r="N71">
        <v>7</v>
      </c>
      <c r="O71">
        <v>2</v>
      </c>
      <c r="P71">
        <v>8</v>
      </c>
      <c r="Q71">
        <v>534</v>
      </c>
      <c r="R71" t="s">
        <v>23</v>
      </c>
      <c r="S71" t="s">
        <v>24</v>
      </c>
      <c r="T71">
        <v>1</v>
      </c>
      <c r="U71">
        <v>2035.03</v>
      </c>
    </row>
    <row r="72" spans="1:21" x14ac:dyDescent="0.35">
      <c r="A72">
        <v>8224</v>
      </c>
      <c r="B72">
        <v>54</v>
      </c>
      <c r="C72" t="s">
        <v>21</v>
      </c>
      <c r="D72">
        <v>52089</v>
      </c>
      <c r="E72" t="s">
        <v>31</v>
      </c>
      <c r="F72" t="s">
        <v>32</v>
      </c>
      <c r="G72">
        <v>9339.0400000000009</v>
      </c>
      <c r="H72">
        <v>0.26</v>
      </c>
      <c r="I72">
        <v>0.02</v>
      </c>
      <c r="J72">
        <v>45</v>
      </c>
      <c r="K72">
        <v>3.86</v>
      </c>
      <c r="L72">
        <v>5.94</v>
      </c>
      <c r="M72">
        <v>74</v>
      </c>
      <c r="N72">
        <v>16</v>
      </c>
      <c r="O72">
        <v>2</v>
      </c>
      <c r="P72">
        <v>1</v>
      </c>
      <c r="Q72">
        <v>3945</v>
      </c>
      <c r="R72" t="s">
        <v>23</v>
      </c>
      <c r="S72" t="s">
        <v>24</v>
      </c>
      <c r="T72">
        <v>1</v>
      </c>
      <c r="U72">
        <v>9339.0400000000009</v>
      </c>
    </row>
    <row r="73" spans="1:21" x14ac:dyDescent="0.35">
      <c r="A73">
        <v>8227</v>
      </c>
      <c r="B73">
        <v>66</v>
      </c>
      <c r="C73" t="s">
        <v>27</v>
      </c>
      <c r="D73">
        <v>102318</v>
      </c>
      <c r="E73" t="s">
        <v>22</v>
      </c>
      <c r="F73" t="s">
        <v>32</v>
      </c>
      <c r="G73">
        <v>8207.8700000000008</v>
      </c>
      <c r="H73">
        <v>0.23</v>
      </c>
      <c r="I73">
        <v>0.03</v>
      </c>
      <c r="J73">
        <v>0</v>
      </c>
      <c r="K73">
        <v>4.1500000000000004</v>
      </c>
      <c r="L73">
        <v>13.39</v>
      </c>
      <c r="M73">
        <v>93</v>
      </c>
      <c r="N73">
        <v>19</v>
      </c>
      <c r="O73">
        <v>0</v>
      </c>
      <c r="P73">
        <v>3</v>
      </c>
      <c r="Q73">
        <v>783</v>
      </c>
      <c r="R73" t="s">
        <v>23</v>
      </c>
      <c r="S73" t="s">
        <v>24</v>
      </c>
      <c r="T73">
        <v>1</v>
      </c>
      <c r="U73">
        <v>8207.8700000000008</v>
      </c>
    </row>
    <row r="74" spans="1:21" x14ac:dyDescent="0.35">
      <c r="A74">
        <v>8228</v>
      </c>
      <c r="B74">
        <v>19</v>
      </c>
      <c r="C74" t="s">
        <v>27</v>
      </c>
      <c r="D74">
        <v>50029</v>
      </c>
      <c r="E74" t="s">
        <v>22</v>
      </c>
      <c r="F74" t="s">
        <v>19</v>
      </c>
      <c r="G74">
        <v>7435.05</v>
      </c>
      <c r="H74">
        <v>0.14000000000000001</v>
      </c>
      <c r="I74">
        <v>0.01</v>
      </c>
      <c r="J74">
        <v>46</v>
      </c>
      <c r="K74">
        <v>1.57</v>
      </c>
      <c r="L74">
        <v>13.39</v>
      </c>
      <c r="M74">
        <v>88</v>
      </c>
      <c r="N74">
        <v>10</v>
      </c>
      <c r="O74">
        <v>3</v>
      </c>
      <c r="P74">
        <v>2</v>
      </c>
      <c r="Q74">
        <v>3651</v>
      </c>
      <c r="R74" t="s">
        <v>23</v>
      </c>
      <c r="S74" t="s">
        <v>24</v>
      </c>
      <c r="T74">
        <v>1</v>
      </c>
      <c r="U74">
        <v>7435.05</v>
      </c>
    </row>
    <row r="75" spans="1:21" x14ac:dyDescent="0.35">
      <c r="A75">
        <v>8229</v>
      </c>
      <c r="B75">
        <v>19</v>
      </c>
      <c r="C75" t="s">
        <v>27</v>
      </c>
      <c r="D75">
        <v>99023</v>
      </c>
      <c r="E75" t="s">
        <v>29</v>
      </c>
      <c r="F75" t="s">
        <v>26</v>
      </c>
      <c r="G75">
        <v>9184.07</v>
      </c>
      <c r="H75">
        <v>0.22</v>
      </c>
      <c r="I75">
        <v>0.12</v>
      </c>
      <c r="J75">
        <v>42</v>
      </c>
      <c r="K75">
        <v>8.5</v>
      </c>
      <c r="L75">
        <v>1.28</v>
      </c>
      <c r="M75">
        <v>15</v>
      </c>
      <c r="N75">
        <v>12</v>
      </c>
      <c r="O75">
        <v>3</v>
      </c>
      <c r="P75">
        <v>0</v>
      </c>
      <c r="Q75">
        <v>625</v>
      </c>
      <c r="R75" t="s">
        <v>23</v>
      </c>
      <c r="S75" t="s">
        <v>24</v>
      </c>
      <c r="T75">
        <v>1</v>
      </c>
      <c r="U75">
        <v>9184.07</v>
      </c>
    </row>
    <row r="76" spans="1:21" x14ac:dyDescent="0.35">
      <c r="A76">
        <v>8232</v>
      </c>
      <c r="B76">
        <v>54</v>
      </c>
      <c r="C76" t="s">
        <v>21</v>
      </c>
      <c r="D76">
        <v>133037</v>
      </c>
      <c r="E76" t="s">
        <v>31</v>
      </c>
      <c r="F76" t="s">
        <v>30</v>
      </c>
      <c r="G76">
        <v>1907.85</v>
      </c>
      <c r="H76">
        <v>0.12</v>
      </c>
      <c r="I76">
        <v>0.17</v>
      </c>
      <c r="J76">
        <v>3</v>
      </c>
      <c r="K76">
        <v>9.2200000000000006</v>
      </c>
      <c r="L76">
        <v>11.67</v>
      </c>
      <c r="M76">
        <v>46</v>
      </c>
      <c r="N76">
        <v>2</v>
      </c>
      <c r="O76">
        <v>4</v>
      </c>
      <c r="P76">
        <v>6</v>
      </c>
      <c r="Q76">
        <v>3182</v>
      </c>
      <c r="R76" t="s">
        <v>23</v>
      </c>
      <c r="S76" t="s">
        <v>24</v>
      </c>
      <c r="T76">
        <v>1</v>
      </c>
      <c r="U76">
        <v>1907.85</v>
      </c>
    </row>
    <row r="77" spans="1:21" x14ac:dyDescent="0.35">
      <c r="A77">
        <v>8244</v>
      </c>
      <c r="B77">
        <v>28</v>
      </c>
      <c r="C77" t="s">
        <v>21</v>
      </c>
      <c r="D77">
        <v>49715</v>
      </c>
      <c r="E77" t="s">
        <v>22</v>
      </c>
      <c r="F77" t="s">
        <v>32</v>
      </c>
      <c r="G77">
        <v>7029.2</v>
      </c>
      <c r="H77">
        <v>0.28999999999999998</v>
      </c>
      <c r="I77">
        <v>0.03</v>
      </c>
      <c r="J77">
        <v>12</v>
      </c>
      <c r="K77">
        <v>7.89</v>
      </c>
      <c r="L77">
        <v>14.86</v>
      </c>
      <c r="M77">
        <v>76</v>
      </c>
      <c r="N77">
        <v>8</v>
      </c>
      <c r="O77">
        <v>8</v>
      </c>
      <c r="P77">
        <v>4</v>
      </c>
      <c r="Q77">
        <v>3953</v>
      </c>
      <c r="R77" t="s">
        <v>23</v>
      </c>
      <c r="S77" t="s">
        <v>24</v>
      </c>
      <c r="T77">
        <v>1</v>
      </c>
      <c r="U77">
        <v>7029.2</v>
      </c>
    </row>
    <row r="78" spans="1:21" x14ac:dyDescent="0.35">
      <c r="A78">
        <v>8246</v>
      </c>
      <c r="B78">
        <v>55</v>
      </c>
      <c r="C78" t="s">
        <v>27</v>
      </c>
      <c r="D78">
        <v>76922</v>
      </c>
      <c r="E78" t="s">
        <v>28</v>
      </c>
      <c r="F78" t="s">
        <v>30</v>
      </c>
      <c r="G78">
        <v>1025.78</v>
      </c>
      <c r="H78">
        <v>0.1</v>
      </c>
      <c r="I78">
        <v>0.18</v>
      </c>
      <c r="J78">
        <v>49</v>
      </c>
      <c r="K78">
        <v>5.8</v>
      </c>
      <c r="L78">
        <v>1.39</v>
      </c>
      <c r="M78">
        <v>80</v>
      </c>
      <c r="N78">
        <v>18</v>
      </c>
      <c r="O78">
        <v>8</v>
      </c>
      <c r="P78">
        <v>8</v>
      </c>
      <c r="Q78">
        <v>865</v>
      </c>
      <c r="R78" t="s">
        <v>23</v>
      </c>
      <c r="S78" t="s">
        <v>24</v>
      </c>
      <c r="T78">
        <v>1</v>
      </c>
      <c r="U78">
        <v>1025.78</v>
      </c>
    </row>
    <row r="79" spans="1:21" x14ac:dyDescent="0.35">
      <c r="A79">
        <v>8251</v>
      </c>
      <c r="B79">
        <v>23</v>
      </c>
      <c r="C79" t="s">
        <v>27</v>
      </c>
      <c r="D79">
        <v>20823</v>
      </c>
      <c r="E79" t="s">
        <v>31</v>
      </c>
      <c r="F79" t="s">
        <v>19</v>
      </c>
      <c r="G79">
        <v>7180.96</v>
      </c>
      <c r="H79">
        <v>0.09</v>
      </c>
      <c r="I79">
        <v>0.05</v>
      </c>
      <c r="J79">
        <v>12</v>
      </c>
      <c r="K79">
        <v>6.5</v>
      </c>
      <c r="L79">
        <v>0.74</v>
      </c>
      <c r="M79">
        <v>68</v>
      </c>
      <c r="N79">
        <v>15</v>
      </c>
      <c r="O79">
        <v>0</v>
      </c>
      <c r="P79">
        <v>9</v>
      </c>
      <c r="Q79">
        <v>1817</v>
      </c>
      <c r="R79" t="s">
        <v>23</v>
      </c>
      <c r="S79" t="s">
        <v>24</v>
      </c>
      <c r="T79">
        <v>1</v>
      </c>
      <c r="U79">
        <v>7180.96</v>
      </c>
    </row>
    <row r="80" spans="1:21" x14ac:dyDescent="0.35">
      <c r="A80">
        <v>8254</v>
      </c>
      <c r="B80">
        <v>65</v>
      </c>
      <c r="C80" t="s">
        <v>27</v>
      </c>
      <c r="D80">
        <v>27084</v>
      </c>
      <c r="E80" t="s">
        <v>22</v>
      </c>
      <c r="F80" t="s">
        <v>19</v>
      </c>
      <c r="G80">
        <v>7503.79</v>
      </c>
      <c r="H80">
        <v>0.04</v>
      </c>
      <c r="I80">
        <v>0.01</v>
      </c>
      <c r="J80">
        <v>9</v>
      </c>
      <c r="K80">
        <v>8.2799999999999994</v>
      </c>
      <c r="L80">
        <v>12.32</v>
      </c>
      <c r="M80">
        <v>96</v>
      </c>
      <c r="N80">
        <v>17</v>
      </c>
      <c r="O80">
        <v>4</v>
      </c>
      <c r="P80">
        <v>7</v>
      </c>
      <c r="Q80">
        <v>3689</v>
      </c>
      <c r="R80" t="s">
        <v>23</v>
      </c>
      <c r="S80" t="s">
        <v>24</v>
      </c>
      <c r="T80">
        <v>1</v>
      </c>
      <c r="U80">
        <v>7503.79</v>
      </c>
    </row>
    <row r="81" spans="1:21" x14ac:dyDescent="0.35">
      <c r="A81">
        <v>8255</v>
      </c>
      <c r="B81">
        <v>33</v>
      </c>
      <c r="C81" t="s">
        <v>21</v>
      </c>
      <c r="D81">
        <v>97991</v>
      </c>
      <c r="E81" t="s">
        <v>22</v>
      </c>
      <c r="F81" t="s">
        <v>26</v>
      </c>
      <c r="G81">
        <v>3087.65</v>
      </c>
      <c r="H81">
        <v>0.28000000000000003</v>
      </c>
      <c r="I81">
        <v>0.09</v>
      </c>
      <c r="J81">
        <v>46</v>
      </c>
      <c r="K81">
        <v>5.77</v>
      </c>
      <c r="L81">
        <v>12.28</v>
      </c>
      <c r="M81">
        <v>33</v>
      </c>
      <c r="N81">
        <v>18</v>
      </c>
      <c r="O81">
        <v>3</v>
      </c>
      <c r="P81">
        <v>0</v>
      </c>
      <c r="Q81">
        <v>2632</v>
      </c>
      <c r="R81" t="s">
        <v>23</v>
      </c>
      <c r="S81" t="s">
        <v>24</v>
      </c>
      <c r="T81">
        <v>1</v>
      </c>
      <c r="U81">
        <v>3087.65</v>
      </c>
    </row>
    <row r="82" spans="1:21" x14ac:dyDescent="0.35">
      <c r="A82">
        <v>8256</v>
      </c>
      <c r="B82">
        <v>50</v>
      </c>
      <c r="C82" t="s">
        <v>21</v>
      </c>
      <c r="D82">
        <v>30607</v>
      </c>
      <c r="E82" t="s">
        <v>29</v>
      </c>
      <c r="F82" t="s">
        <v>32</v>
      </c>
      <c r="G82">
        <v>2209.16</v>
      </c>
      <c r="H82">
        <v>0.26</v>
      </c>
      <c r="I82">
        <v>0.03</v>
      </c>
      <c r="J82">
        <v>11</v>
      </c>
      <c r="K82">
        <v>2.2799999999999998</v>
      </c>
      <c r="L82">
        <v>12.6</v>
      </c>
      <c r="M82">
        <v>26</v>
      </c>
      <c r="N82">
        <v>15</v>
      </c>
      <c r="O82">
        <v>8</v>
      </c>
      <c r="P82">
        <v>7</v>
      </c>
      <c r="Q82">
        <v>474</v>
      </c>
      <c r="R82" t="s">
        <v>23</v>
      </c>
      <c r="S82" t="s">
        <v>24</v>
      </c>
      <c r="T82">
        <v>1</v>
      </c>
      <c r="U82">
        <v>2209.16</v>
      </c>
    </row>
    <row r="83" spans="1:21" x14ac:dyDescent="0.35">
      <c r="A83">
        <v>8260</v>
      </c>
      <c r="B83">
        <v>46</v>
      </c>
      <c r="C83" t="s">
        <v>27</v>
      </c>
      <c r="D83">
        <v>134540</v>
      </c>
      <c r="E83" t="s">
        <v>28</v>
      </c>
      <c r="F83" t="s">
        <v>32</v>
      </c>
      <c r="G83">
        <v>2901.62</v>
      </c>
      <c r="H83">
        <v>0.01</v>
      </c>
      <c r="I83">
        <v>0.1</v>
      </c>
      <c r="J83">
        <v>18</v>
      </c>
      <c r="K83">
        <v>5.9</v>
      </c>
      <c r="L83">
        <v>12.8</v>
      </c>
      <c r="M83">
        <v>34</v>
      </c>
      <c r="N83">
        <v>18</v>
      </c>
      <c r="O83">
        <v>6</v>
      </c>
      <c r="P83">
        <v>9</v>
      </c>
      <c r="Q83">
        <v>3545</v>
      </c>
      <c r="R83" t="s">
        <v>23</v>
      </c>
      <c r="S83" t="s">
        <v>24</v>
      </c>
      <c r="T83">
        <v>1</v>
      </c>
      <c r="U83">
        <v>2901.62</v>
      </c>
    </row>
    <row r="84" spans="1:21" x14ac:dyDescent="0.35">
      <c r="A84">
        <v>8261</v>
      </c>
      <c r="B84">
        <v>20</v>
      </c>
      <c r="C84" t="s">
        <v>21</v>
      </c>
      <c r="D84">
        <v>96355</v>
      </c>
      <c r="E84" t="s">
        <v>22</v>
      </c>
      <c r="F84" t="s">
        <v>19</v>
      </c>
      <c r="G84">
        <v>6557.01</v>
      </c>
      <c r="H84">
        <v>0.18</v>
      </c>
      <c r="I84">
        <v>0.12</v>
      </c>
      <c r="J84">
        <v>18</v>
      </c>
      <c r="K84">
        <v>4.9400000000000004</v>
      </c>
      <c r="L84">
        <v>9.4600000000000009</v>
      </c>
      <c r="M84">
        <v>19</v>
      </c>
      <c r="N84">
        <v>18</v>
      </c>
      <c r="O84">
        <v>1</v>
      </c>
      <c r="P84">
        <v>6</v>
      </c>
      <c r="Q84">
        <v>3300</v>
      </c>
      <c r="R84" t="s">
        <v>23</v>
      </c>
      <c r="S84" t="s">
        <v>24</v>
      </c>
      <c r="T84">
        <v>1</v>
      </c>
      <c r="U84">
        <v>6557.01</v>
      </c>
    </row>
    <row r="85" spans="1:21" x14ac:dyDescent="0.35">
      <c r="A85">
        <v>8267</v>
      </c>
      <c r="B85">
        <v>36</v>
      </c>
      <c r="C85" t="s">
        <v>27</v>
      </c>
      <c r="D85">
        <v>147182</v>
      </c>
      <c r="E85" t="s">
        <v>29</v>
      </c>
      <c r="F85" t="s">
        <v>26</v>
      </c>
      <c r="G85">
        <v>4238.08</v>
      </c>
      <c r="H85">
        <v>0.01</v>
      </c>
      <c r="I85">
        <v>0.18</v>
      </c>
      <c r="J85">
        <v>35</v>
      </c>
      <c r="K85">
        <v>6.3</v>
      </c>
      <c r="L85">
        <v>6.32</v>
      </c>
      <c r="M85">
        <v>50</v>
      </c>
      <c r="N85">
        <v>12</v>
      </c>
      <c r="O85">
        <v>4</v>
      </c>
      <c r="P85">
        <v>1</v>
      </c>
      <c r="Q85">
        <v>1447</v>
      </c>
      <c r="R85" t="s">
        <v>23</v>
      </c>
      <c r="S85" t="s">
        <v>24</v>
      </c>
      <c r="T85">
        <v>1</v>
      </c>
      <c r="U85">
        <v>4238.08</v>
      </c>
    </row>
    <row r="86" spans="1:21" x14ac:dyDescent="0.35">
      <c r="A86">
        <v>8271</v>
      </c>
      <c r="B86">
        <v>69</v>
      </c>
      <c r="C86" t="s">
        <v>27</v>
      </c>
      <c r="D86">
        <v>31945</v>
      </c>
      <c r="E86" t="s">
        <v>22</v>
      </c>
      <c r="F86" t="s">
        <v>26</v>
      </c>
      <c r="G86">
        <v>1509.49</v>
      </c>
      <c r="H86">
        <v>0.15</v>
      </c>
      <c r="I86">
        <v>0.16</v>
      </c>
      <c r="J86">
        <v>22</v>
      </c>
      <c r="K86">
        <v>5.95</v>
      </c>
      <c r="L86">
        <v>14.64</v>
      </c>
      <c r="M86">
        <v>44</v>
      </c>
      <c r="N86">
        <v>9</v>
      </c>
      <c r="O86">
        <v>9</v>
      </c>
      <c r="P86">
        <v>3</v>
      </c>
      <c r="Q86">
        <v>2693</v>
      </c>
      <c r="R86" t="s">
        <v>23</v>
      </c>
      <c r="S86" t="s">
        <v>24</v>
      </c>
      <c r="T86">
        <v>1</v>
      </c>
      <c r="U86">
        <v>1509.49</v>
      </c>
    </row>
    <row r="87" spans="1:21" x14ac:dyDescent="0.35">
      <c r="A87">
        <v>8284</v>
      </c>
      <c r="B87">
        <v>48</v>
      </c>
      <c r="C87" t="s">
        <v>21</v>
      </c>
      <c r="D87">
        <v>24601</v>
      </c>
      <c r="E87" t="s">
        <v>25</v>
      </c>
      <c r="F87" t="s">
        <v>19</v>
      </c>
      <c r="G87">
        <v>3021.2</v>
      </c>
      <c r="H87">
        <v>0.19</v>
      </c>
      <c r="I87">
        <v>0.06</v>
      </c>
      <c r="J87">
        <v>6</v>
      </c>
      <c r="K87">
        <v>4.93</v>
      </c>
      <c r="L87">
        <v>13.38</v>
      </c>
      <c r="M87">
        <v>11</v>
      </c>
      <c r="N87">
        <v>4</v>
      </c>
      <c r="O87">
        <v>9</v>
      </c>
      <c r="P87">
        <v>0</v>
      </c>
      <c r="Q87">
        <v>184</v>
      </c>
      <c r="R87" t="s">
        <v>23</v>
      </c>
      <c r="S87" t="s">
        <v>24</v>
      </c>
      <c r="T87">
        <v>1</v>
      </c>
      <c r="U87">
        <v>3021.2</v>
      </c>
    </row>
    <row r="88" spans="1:21" x14ac:dyDescent="0.35">
      <c r="A88">
        <v>8290</v>
      </c>
      <c r="B88">
        <v>43</v>
      </c>
      <c r="C88" t="s">
        <v>21</v>
      </c>
      <c r="D88">
        <v>71337</v>
      </c>
      <c r="E88" t="s">
        <v>29</v>
      </c>
      <c r="F88" t="s">
        <v>32</v>
      </c>
      <c r="G88">
        <v>7426.07</v>
      </c>
      <c r="H88">
        <v>0.1</v>
      </c>
      <c r="I88">
        <v>0.1</v>
      </c>
      <c r="J88">
        <v>31</v>
      </c>
      <c r="K88">
        <v>2.39</v>
      </c>
      <c r="L88">
        <v>13.92</v>
      </c>
      <c r="M88">
        <v>10</v>
      </c>
      <c r="N88">
        <v>11</v>
      </c>
      <c r="O88">
        <v>9</v>
      </c>
      <c r="P88">
        <v>1</v>
      </c>
      <c r="Q88">
        <v>4697</v>
      </c>
      <c r="R88" t="s">
        <v>23</v>
      </c>
      <c r="S88" t="s">
        <v>24</v>
      </c>
      <c r="T88">
        <v>1</v>
      </c>
      <c r="U88">
        <v>7426.07</v>
      </c>
    </row>
    <row r="89" spans="1:21" x14ac:dyDescent="0.35">
      <c r="A89">
        <v>8291</v>
      </c>
      <c r="B89">
        <v>65</v>
      </c>
      <c r="C89" t="s">
        <v>27</v>
      </c>
      <c r="D89">
        <v>60204</v>
      </c>
      <c r="E89" t="s">
        <v>29</v>
      </c>
      <c r="F89" t="s">
        <v>26</v>
      </c>
      <c r="G89">
        <v>5186.08</v>
      </c>
      <c r="H89">
        <v>0.13</v>
      </c>
      <c r="I89">
        <v>0.05</v>
      </c>
      <c r="J89">
        <v>14</v>
      </c>
      <c r="K89">
        <v>9.2899999999999991</v>
      </c>
      <c r="L89">
        <v>1.03</v>
      </c>
      <c r="M89">
        <v>37</v>
      </c>
      <c r="N89">
        <v>14</v>
      </c>
      <c r="O89">
        <v>4</v>
      </c>
      <c r="P89">
        <v>6</v>
      </c>
      <c r="Q89">
        <v>3949</v>
      </c>
      <c r="R89" t="s">
        <v>23</v>
      </c>
      <c r="S89" t="s">
        <v>24</v>
      </c>
      <c r="T89">
        <v>1</v>
      </c>
      <c r="U89">
        <v>5186.08</v>
      </c>
    </row>
    <row r="90" spans="1:21" x14ac:dyDescent="0.35">
      <c r="A90">
        <v>8298</v>
      </c>
      <c r="B90">
        <v>22</v>
      </c>
      <c r="C90" t="s">
        <v>21</v>
      </c>
      <c r="D90">
        <v>60854</v>
      </c>
      <c r="E90" t="s">
        <v>28</v>
      </c>
      <c r="F90" t="s">
        <v>30</v>
      </c>
      <c r="G90">
        <v>2030.14</v>
      </c>
      <c r="H90">
        <v>0.16</v>
      </c>
      <c r="I90">
        <v>0.01</v>
      </c>
      <c r="J90">
        <v>3</v>
      </c>
      <c r="K90">
        <v>8.2200000000000006</v>
      </c>
      <c r="L90">
        <v>1.0900000000000001</v>
      </c>
      <c r="M90">
        <v>79</v>
      </c>
      <c r="N90">
        <v>13</v>
      </c>
      <c r="O90">
        <v>4</v>
      </c>
      <c r="P90">
        <v>6</v>
      </c>
      <c r="Q90">
        <v>2142</v>
      </c>
      <c r="R90" t="s">
        <v>23</v>
      </c>
      <c r="S90" t="s">
        <v>24</v>
      </c>
      <c r="T90">
        <v>1</v>
      </c>
      <c r="U90">
        <v>2030.14</v>
      </c>
    </row>
    <row r="91" spans="1:21" x14ac:dyDescent="0.35">
      <c r="A91">
        <v>8302</v>
      </c>
      <c r="B91">
        <v>58</v>
      </c>
      <c r="C91" t="s">
        <v>21</v>
      </c>
      <c r="D91">
        <v>51558</v>
      </c>
      <c r="E91" t="s">
        <v>29</v>
      </c>
      <c r="F91" t="s">
        <v>19</v>
      </c>
      <c r="G91">
        <v>7077.29</v>
      </c>
      <c r="H91">
        <v>0.11</v>
      </c>
      <c r="I91">
        <v>0.03</v>
      </c>
      <c r="J91">
        <v>37</v>
      </c>
      <c r="K91">
        <v>5.94</v>
      </c>
      <c r="L91">
        <v>5.37</v>
      </c>
      <c r="M91">
        <v>43</v>
      </c>
      <c r="N91">
        <v>17</v>
      </c>
      <c r="O91">
        <v>2</v>
      </c>
      <c r="P91">
        <v>5</v>
      </c>
      <c r="Q91">
        <v>4118</v>
      </c>
      <c r="R91" t="s">
        <v>23</v>
      </c>
      <c r="S91" t="s">
        <v>24</v>
      </c>
      <c r="T91">
        <v>1</v>
      </c>
      <c r="U91">
        <v>7077.29</v>
      </c>
    </row>
    <row r="92" spans="1:21" x14ac:dyDescent="0.35">
      <c r="A92">
        <v>8304</v>
      </c>
      <c r="B92">
        <v>36</v>
      </c>
      <c r="C92" t="s">
        <v>21</v>
      </c>
      <c r="D92">
        <v>81794</v>
      </c>
      <c r="E92" t="s">
        <v>29</v>
      </c>
      <c r="F92" t="s">
        <v>26</v>
      </c>
      <c r="G92">
        <v>1407.94</v>
      </c>
      <c r="H92">
        <v>0.17</v>
      </c>
      <c r="I92">
        <v>0.17</v>
      </c>
      <c r="J92">
        <v>46</v>
      </c>
      <c r="K92">
        <v>6.9</v>
      </c>
      <c r="L92">
        <v>13.96</v>
      </c>
      <c r="M92">
        <v>75</v>
      </c>
      <c r="N92">
        <v>8</v>
      </c>
      <c r="O92">
        <v>5</v>
      </c>
      <c r="P92">
        <v>3</v>
      </c>
      <c r="Q92">
        <v>859</v>
      </c>
      <c r="R92" t="s">
        <v>23</v>
      </c>
      <c r="S92" t="s">
        <v>24</v>
      </c>
      <c r="T92">
        <v>1</v>
      </c>
      <c r="U92">
        <v>1407.94</v>
      </c>
    </row>
    <row r="93" spans="1:21" x14ac:dyDescent="0.35">
      <c r="A93">
        <v>8310</v>
      </c>
      <c r="B93">
        <v>50</v>
      </c>
      <c r="C93" t="s">
        <v>27</v>
      </c>
      <c r="D93">
        <v>79261</v>
      </c>
      <c r="E93" t="s">
        <v>31</v>
      </c>
      <c r="F93" t="s">
        <v>32</v>
      </c>
      <c r="G93">
        <v>2091.2399999999998</v>
      </c>
      <c r="H93">
        <v>0.2</v>
      </c>
      <c r="I93">
        <v>0.13</v>
      </c>
      <c r="J93">
        <v>27</v>
      </c>
      <c r="K93">
        <v>2.2599999999999998</v>
      </c>
      <c r="L93">
        <v>13.76</v>
      </c>
      <c r="M93">
        <v>76</v>
      </c>
      <c r="N93">
        <v>12</v>
      </c>
      <c r="O93">
        <v>1</v>
      </c>
      <c r="P93">
        <v>7</v>
      </c>
      <c r="Q93">
        <v>2602</v>
      </c>
      <c r="R93" t="s">
        <v>23</v>
      </c>
      <c r="S93" t="s">
        <v>24</v>
      </c>
      <c r="T93">
        <v>1</v>
      </c>
      <c r="U93">
        <v>2091.2399999999998</v>
      </c>
    </row>
    <row r="94" spans="1:21" x14ac:dyDescent="0.35">
      <c r="A94">
        <v>8313</v>
      </c>
      <c r="B94">
        <v>28</v>
      </c>
      <c r="C94" t="s">
        <v>27</v>
      </c>
      <c r="D94">
        <v>38065</v>
      </c>
      <c r="E94" t="s">
        <v>25</v>
      </c>
      <c r="F94" t="s">
        <v>26</v>
      </c>
      <c r="G94">
        <v>7187.08</v>
      </c>
      <c r="H94">
        <v>0.23</v>
      </c>
      <c r="I94">
        <v>0.05</v>
      </c>
      <c r="J94">
        <v>46</v>
      </c>
      <c r="K94">
        <v>2.13</v>
      </c>
      <c r="L94">
        <v>7.41</v>
      </c>
      <c r="M94">
        <v>10</v>
      </c>
      <c r="N94">
        <v>1</v>
      </c>
      <c r="O94">
        <v>9</v>
      </c>
      <c r="P94">
        <v>6</v>
      </c>
      <c r="Q94">
        <v>1269</v>
      </c>
      <c r="R94" t="s">
        <v>23</v>
      </c>
      <c r="S94" t="s">
        <v>24</v>
      </c>
      <c r="T94">
        <v>1</v>
      </c>
      <c r="U94">
        <v>7187.08</v>
      </c>
    </row>
    <row r="95" spans="1:21" x14ac:dyDescent="0.35">
      <c r="A95">
        <v>8316</v>
      </c>
      <c r="B95">
        <v>53</v>
      </c>
      <c r="C95" t="s">
        <v>27</v>
      </c>
      <c r="D95">
        <v>107191</v>
      </c>
      <c r="E95" t="s">
        <v>31</v>
      </c>
      <c r="F95" t="s">
        <v>30</v>
      </c>
      <c r="G95">
        <v>678.08</v>
      </c>
      <c r="H95">
        <v>0.1</v>
      </c>
      <c r="I95">
        <v>0.19</v>
      </c>
      <c r="J95">
        <v>18</v>
      </c>
      <c r="K95">
        <v>3.02</v>
      </c>
      <c r="L95">
        <v>0.78</v>
      </c>
      <c r="M95">
        <v>98</v>
      </c>
      <c r="N95">
        <v>6</v>
      </c>
      <c r="O95">
        <v>2</v>
      </c>
      <c r="P95">
        <v>2</v>
      </c>
      <c r="Q95">
        <v>507</v>
      </c>
      <c r="R95" t="s">
        <v>23</v>
      </c>
      <c r="S95" t="s">
        <v>24</v>
      </c>
      <c r="T95">
        <v>0</v>
      </c>
    </row>
    <row r="96" spans="1:21" x14ac:dyDescent="0.35">
      <c r="A96">
        <v>8317</v>
      </c>
      <c r="B96">
        <v>55</v>
      </c>
      <c r="C96" t="s">
        <v>21</v>
      </c>
      <c r="D96">
        <v>30006</v>
      </c>
      <c r="E96" t="s">
        <v>29</v>
      </c>
      <c r="F96" t="s">
        <v>19</v>
      </c>
      <c r="G96">
        <v>1758.08</v>
      </c>
      <c r="H96">
        <v>0.11</v>
      </c>
      <c r="I96">
        <v>0.2</v>
      </c>
      <c r="J96">
        <v>43</v>
      </c>
      <c r="K96">
        <v>9.49</v>
      </c>
      <c r="L96">
        <v>12.58</v>
      </c>
      <c r="M96">
        <v>38</v>
      </c>
      <c r="N96">
        <v>8</v>
      </c>
      <c r="O96">
        <v>4</v>
      </c>
      <c r="P96">
        <v>6</v>
      </c>
      <c r="Q96">
        <v>2907</v>
      </c>
      <c r="R96" t="s">
        <v>23</v>
      </c>
      <c r="S96" t="s">
        <v>24</v>
      </c>
      <c r="T96">
        <v>1</v>
      </c>
      <c r="U96">
        <v>1758.08</v>
      </c>
    </row>
    <row r="97" spans="1:21" x14ac:dyDescent="0.35">
      <c r="A97">
        <v>8318</v>
      </c>
      <c r="B97">
        <v>57</v>
      </c>
      <c r="C97" t="s">
        <v>21</v>
      </c>
      <c r="D97">
        <v>91819</v>
      </c>
      <c r="E97" t="s">
        <v>31</v>
      </c>
      <c r="F97" t="s">
        <v>30</v>
      </c>
      <c r="G97">
        <v>4202.63</v>
      </c>
      <c r="H97">
        <v>0.06</v>
      </c>
      <c r="I97">
        <v>0.16</v>
      </c>
      <c r="J97">
        <v>34</v>
      </c>
      <c r="K97">
        <v>3.02</v>
      </c>
      <c r="L97">
        <v>11.32</v>
      </c>
      <c r="M97">
        <v>62</v>
      </c>
      <c r="N97">
        <v>6</v>
      </c>
      <c r="O97">
        <v>6</v>
      </c>
      <c r="P97">
        <v>7</v>
      </c>
      <c r="Q97">
        <v>1655</v>
      </c>
      <c r="R97" t="s">
        <v>23</v>
      </c>
      <c r="S97" t="s">
        <v>24</v>
      </c>
      <c r="T97">
        <v>1</v>
      </c>
      <c r="U97">
        <v>4202.63</v>
      </c>
    </row>
    <row r="98" spans="1:21" x14ac:dyDescent="0.35">
      <c r="A98">
        <v>8322</v>
      </c>
      <c r="B98">
        <v>42</v>
      </c>
      <c r="C98" t="s">
        <v>21</v>
      </c>
      <c r="D98">
        <v>116319</v>
      </c>
      <c r="E98" t="s">
        <v>22</v>
      </c>
      <c r="F98" t="s">
        <v>19</v>
      </c>
      <c r="G98">
        <v>1580.08</v>
      </c>
      <c r="H98">
        <v>0.17</v>
      </c>
      <c r="I98">
        <v>0.2</v>
      </c>
      <c r="J98">
        <v>2</v>
      </c>
      <c r="K98">
        <v>8.7200000000000006</v>
      </c>
      <c r="L98">
        <v>2.5099999999999998</v>
      </c>
      <c r="M98">
        <v>50</v>
      </c>
      <c r="N98">
        <v>0</v>
      </c>
      <c r="O98">
        <v>8</v>
      </c>
      <c r="P98">
        <v>6</v>
      </c>
      <c r="Q98">
        <v>3625</v>
      </c>
      <c r="R98" t="s">
        <v>23</v>
      </c>
      <c r="S98" t="s">
        <v>24</v>
      </c>
      <c r="T98">
        <v>1</v>
      </c>
      <c r="U98">
        <v>1580.08</v>
      </c>
    </row>
    <row r="99" spans="1:21" x14ac:dyDescent="0.35">
      <c r="A99">
        <v>8323</v>
      </c>
      <c r="B99">
        <v>52</v>
      </c>
      <c r="C99" t="s">
        <v>27</v>
      </c>
      <c r="D99">
        <v>70393</v>
      </c>
      <c r="E99" t="s">
        <v>31</v>
      </c>
      <c r="F99" t="s">
        <v>30</v>
      </c>
      <c r="G99">
        <v>5141.01</v>
      </c>
      <c r="H99">
        <v>0.11</v>
      </c>
      <c r="I99">
        <v>7.0000000000000007E-2</v>
      </c>
      <c r="J99">
        <v>38</v>
      </c>
      <c r="K99">
        <v>9.0500000000000007</v>
      </c>
      <c r="L99">
        <v>14.96</v>
      </c>
      <c r="M99">
        <v>52</v>
      </c>
      <c r="N99">
        <v>19</v>
      </c>
      <c r="O99">
        <v>0</v>
      </c>
      <c r="P99">
        <v>5</v>
      </c>
      <c r="Q99">
        <v>2268</v>
      </c>
      <c r="R99" t="s">
        <v>23</v>
      </c>
      <c r="S99" t="s">
        <v>24</v>
      </c>
      <c r="T99">
        <v>1</v>
      </c>
      <c r="U99">
        <v>5141.01</v>
      </c>
    </row>
    <row r="100" spans="1:21" x14ac:dyDescent="0.35">
      <c r="A100">
        <v>8325</v>
      </c>
      <c r="B100">
        <v>46</v>
      </c>
      <c r="C100" t="s">
        <v>27</v>
      </c>
      <c r="D100">
        <v>121341</v>
      </c>
      <c r="E100" t="s">
        <v>31</v>
      </c>
      <c r="F100" t="s">
        <v>19</v>
      </c>
      <c r="G100">
        <v>3980.5</v>
      </c>
      <c r="H100">
        <v>0.22</v>
      </c>
      <c r="I100">
        <v>0.19</v>
      </c>
      <c r="J100">
        <v>16</v>
      </c>
      <c r="K100">
        <v>1.7</v>
      </c>
      <c r="L100">
        <v>1.35</v>
      </c>
      <c r="M100">
        <v>64</v>
      </c>
      <c r="N100">
        <v>1</v>
      </c>
      <c r="O100">
        <v>0</v>
      </c>
      <c r="P100">
        <v>5</v>
      </c>
      <c r="Q100">
        <v>1301</v>
      </c>
      <c r="R100" t="s">
        <v>23</v>
      </c>
      <c r="S100" t="s">
        <v>24</v>
      </c>
      <c r="T100">
        <v>1</v>
      </c>
      <c r="U100">
        <v>3980.5</v>
      </c>
    </row>
    <row r="101" spans="1:21" x14ac:dyDescent="0.35">
      <c r="A101">
        <v>8327</v>
      </c>
      <c r="B101">
        <v>63</v>
      </c>
      <c r="C101" t="s">
        <v>21</v>
      </c>
      <c r="D101">
        <v>32417</v>
      </c>
      <c r="E101" t="s">
        <v>29</v>
      </c>
      <c r="F101" t="s">
        <v>19</v>
      </c>
      <c r="G101">
        <v>7091.06</v>
      </c>
      <c r="H101">
        <v>0.15</v>
      </c>
      <c r="I101">
        <v>0.12</v>
      </c>
      <c r="J101">
        <v>41</v>
      </c>
      <c r="K101">
        <v>6.98</v>
      </c>
      <c r="L101">
        <v>7.22</v>
      </c>
      <c r="M101">
        <v>11</v>
      </c>
      <c r="N101">
        <v>9</v>
      </c>
      <c r="O101">
        <v>6</v>
      </c>
      <c r="P101">
        <v>8</v>
      </c>
      <c r="Q101">
        <v>1607</v>
      </c>
      <c r="R101" t="s">
        <v>23</v>
      </c>
      <c r="S101" t="s">
        <v>24</v>
      </c>
      <c r="T101">
        <v>1</v>
      </c>
      <c r="U101">
        <v>7091.06</v>
      </c>
    </row>
    <row r="102" spans="1:21" x14ac:dyDescent="0.35">
      <c r="A102">
        <v>8330</v>
      </c>
      <c r="B102">
        <v>52</v>
      </c>
      <c r="C102" t="s">
        <v>27</v>
      </c>
      <c r="D102">
        <v>48896</v>
      </c>
      <c r="E102" t="s">
        <v>29</v>
      </c>
      <c r="F102" t="s">
        <v>26</v>
      </c>
      <c r="G102">
        <v>3310.15</v>
      </c>
      <c r="H102">
        <v>0.11</v>
      </c>
      <c r="I102">
        <v>0.1</v>
      </c>
      <c r="J102">
        <v>19</v>
      </c>
      <c r="K102">
        <v>8.1300000000000008</v>
      </c>
      <c r="L102">
        <v>5.77</v>
      </c>
      <c r="M102">
        <v>71</v>
      </c>
      <c r="N102">
        <v>7</v>
      </c>
      <c r="O102">
        <v>7</v>
      </c>
      <c r="P102">
        <v>1</v>
      </c>
      <c r="Q102">
        <v>4625</v>
      </c>
      <c r="R102" t="s">
        <v>23</v>
      </c>
      <c r="S102" t="s">
        <v>24</v>
      </c>
      <c r="T102">
        <v>1</v>
      </c>
      <c r="U102">
        <v>3310.15</v>
      </c>
    </row>
    <row r="103" spans="1:21" x14ac:dyDescent="0.35">
      <c r="A103">
        <v>8332</v>
      </c>
      <c r="B103">
        <v>58</v>
      </c>
      <c r="C103" t="s">
        <v>27</v>
      </c>
      <c r="D103">
        <v>122979</v>
      </c>
      <c r="E103" t="s">
        <v>22</v>
      </c>
      <c r="F103" t="s">
        <v>32</v>
      </c>
      <c r="G103">
        <v>8206.31</v>
      </c>
      <c r="H103">
        <v>0.13</v>
      </c>
      <c r="I103">
        <v>0.18</v>
      </c>
      <c r="J103">
        <v>34</v>
      </c>
      <c r="K103">
        <v>6.59</v>
      </c>
      <c r="L103">
        <v>6.98</v>
      </c>
      <c r="M103">
        <v>94</v>
      </c>
      <c r="N103">
        <v>5</v>
      </c>
      <c r="O103">
        <v>0</v>
      </c>
      <c r="P103">
        <v>8</v>
      </c>
      <c r="Q103">
        <v>4552</v>
      </c>
      <c r="R103" t="s">
        <v>23</v>
      </c>
      <c r="S103" t="s">
        <v>24</v>
      </c>
      <c r="T103">
        <v>1</v>
      </c>
      <c r="U103">
        <v>8206.31</v>
      </c>
    </row>
    <row r="104" spans="1:21" x14ac:dyDescent="0.35">
      <c r="A104">
        <v>8336</v>
      </c>
      <c r="B104">
        <v>50</v>
      </c>
      <c r="C104" t="s">
        <v>21</v>
      </c>
      <c r="D104">
        <v>81330</v>
      </c>
      <c r="E104" t="s">
        <v>29</v>
      </c>
      <c r="F104" t="s">
        <v>32</v>
      </c>
      <c r="G104">
        <v>1330.65</v>
      </c>
      <c r="H104">
        <v>0.01</v>
      </c>
      <c r="I104">
        <v>0.1</v>
      </c>
      <c r="J104">
        <v>40</v>
      </c>
      <c r="K104">
        <v>4.9400000000000004</v>
      </c>
      <c r="L104">
        <v>8.5399999999999991</v>
      </c>
      <c r="M104">
        <v>84</v>
      </c>
      <c r="N104">
        <v>16</v>
      </c>
      <c r="O104">
        <v>1</v>
      </c>
      <c r="P104">
        <v>0</v>
      </c>
      <c r="Q104">
        <v>4558</v>
      </c>
      <c r="R104" t="s">
        <v>23</v>
      </c>
      <c r="S104" t="s">
        <v>24</v>
      </c>
      <c r="T104">
        <v>1</v>
      </c>
      <c r="U104">
        <v>1330.65</v>
      </c>
    </row>
    <row r="105" spans="1:21" x14ac:dyDescent="0.35">
      <c r="A105">
        <v>8339</v>
      </c>
      <c r="B105">
        <v>65</v>
      </c>
      <c r="C105" t="s">
        <v>21</v>
      </c>
      <c r="D105">
        <v>120972</v>
      </c>
      <c r="E105" t="s">
        <v>28</v>
      </c>
      <c r="F105" t="s">
        <v>30</v>
      </c>
      <c r="G105">
        <v>367.05</v>
      </c>
      <c r="H105">
        <v>0.23</v>
      </c>
      <c r="I105">
        <v>0.19</v>
      </c>
      <c r="J105">
        <v>19</v>
      </c>
      <c r="K105">
        <v>7.72</v>
      </c>
      <c r="L105">
        <v>8.44</v>
      </c>
      <c r="M105">
        <v>62</v>
      </c>
      <c r="N105">
        <v>1</v>
      </c>
      <c r="O105">
        <v>1</v>
      </c>
      <c r="P105">
        <v>6</v>
      </c>
      <c r="Q105">
        <v>201</v>
      </c>
      <c r="R105" t="s">
        <v>23</v>
      </c>
      <c r="S105" t="s">
        <v>24</v>
      </c>
      <c r="T105">
        <v>1</v>
      </c>
      <c r="U105">
        <v>367.05</v>
      </c>
    </row>
    <row r="106" spans="1:21" x14ac:dyDescent="0.35">
      <c r="A106">
        <v>8343</v>
      </c>
      <c r="B106">
        <v>20</v>
      </c>
      <c r="C106" t="s">
        <v>27</v>
      </c>
      <c r="D106">
        <v>133216</v>
      </c>
      <c r="E106" t="s">
        <v>28</v>
      </c>
      <c r="F106" t="s">
        <v>30</v>
      </c>
      <c r="G106">
        <v>8208.7800000000007</v>
      </c>
      <c r="H106">
        <v>0.17</v>
      </c>
      <c r="I106">
        <v>0.05</v>
      </c>
      <c r="J106">
        <v>26</v>
      </c>
      <c r="K106">
        <v>4.8499999999999996</v>
      </c>
      <c r="L106">
        <v>12.27</v>
      </c>
      <c r="M106">
        <v>42</v>
      </c>
      <c r="N106">
        <v>10</v>
      </c>
      <c r="O106">
        <v>5</v>
      </c>
      <c r="P106">
        <v>9</v>
      </c>
      <c r="Q106">
        <v>4101</v>
      </c>
      <c r="R106" t="s">
        <v>23</v>
      </c>
      <c r="S106" t="s">
        <v>24</v>
      </c>
      <c r="T106">
        <v>1</v>
      </c>
      <c r="U106">
        <v>8208.7800000000007</v>
      </c>
    </row>
    <row r="107" spans="1:21" x14ac:dyDescent="0.35">
      <c r="A107">
        <v>8344</v>
      </c>
      <c r="B107">
        <v>34</v>
      </c>
      <c r="C107" t="s">
        <v>21</v>
      </c>
      <c r="D107">
        <v>135845</v>
      </c>
      <c r="E107" t="s">
        <v>22</v>
      </c>
      <c r="F107" t="s">
        <v>19</v>
      </c>
      <c r="G107">
        <v>1796.03</v>
      </c>
      <c r="H107">
        <v>0.08</v>
      </c>
      <c r="I107">
        <v>0.15</v>
      </c>
      <c r="J107">
        <v>5</v>
      </c>
      <c r="K107">
        <v>9.6199999999999992</v>
      </c>
      <c r="L107">
        <v>1.87</v>
      </c>
      <c r="M107">
        <v>75</v>
      </c>
      <c r="N107">
        <v>13</v>
      </c>
      <c r="O107">
        <v>2</v>
      </c>
      <c r="P107">
        <v>1</v>
      </c>
      <c r="Q107">
        <v>1558</v>
      </c>
      <c r="R107" t="s">
        <v>23</v>
      </c>
      <c r="S107" t="s">
        <v>24</v>
      </c>
      <c r="T107">
        <v>0</v>
      </c>
    </row>
    <row r="108" spans="1:21" x14ac:dyDescent="0.35">
      <c r="A108">
        <v>8346</v>
      </c>
      <c r="B108">
        <v>65</v>
      </c>
      <c r="C108" t="s">
        <v>21</v>
      </c>
      <c r="D108">
        <v>85391</v>
      </c>
      <c r="E108" t="s">
        <v>22</v>
      </c>
      <c r="F108" t="s">
        <v>26</v>
      </c>
      <c r="G108">
        <v>4907.1000000000004</v>
      </c>
      <c r="H108">
        <v>0.13</v>
      </c>
      <c r="I108">
        <v>0.05</v>
      </c>
      <c r="J108">
        <v>35</v>
      </c>
      <c r="K108">
        <v>9.9</v>
      </c>
      <c r="L108">
        <v>11.91</v>
      </c>
      <c r="M108">
        <v>44</v>
      </c>
      <c r="N108">
        <v>9</v>
      </c>
      <c r="O108">
        <v>0</v>
      </c>
      <c r="P108">
        <v>1</v>
      </c>
      <c r="Q108">
        <v>3004</v>
      </c>
      <c r="R108" t="s">
        <v>23</v>
      </c>
      <c r="S108" t="s">
        <v>24</v>
      </c>
      <c r="T108">
        <v>1</v>
      </c>
      <c r="U108">
        <v>4907.1000000000004</v>
      </c>
    </row>
    <row r="109" spans="1:21" x14ac:dyDescent="0.35">
      <c r="A109">
        <v>8348</v>
      </c>
      <c r="B109">
        <v>68</v>
      </c>
      <c r="C109" t="s">
        <v>27</v>
      </c>
      <c r="D109">
        <v>143546</v>
      </c>
      <c r="E109" t="s">
        <v>22</v>
      </c>
      <c r="F109" t="s">
        <v>30</v>
      </c>
      <c r="G109">
        <v>7017.53</v>
      </c>
      <c r="H109">
        <v>0.09</v>
      </c>
      <c r="I109">
        <v>0.08</v>
      </c>
      <c r="J109">
        <v>19</v>
      </c>
      <c r="K109">
        <v>3.87</v>
      </c>
      <c r="L109">
        <v>4.07</v>
      </c>
      <c r="M109">
        <v>53</v>
      </c>
      <c r="N109">
        <v>10</v>
      </c>
      <c r="O109">
        <v>3</v>
      </c>
      <c r="P109">
        <v>9</v>
      </c>
      <c r="Q109">
        <v>628</v>
      </c>
      <c r="R109" t="s">
        <v>23</v>
      </c>
      <c r="S109" t="s">
        <v>24</v>
      </c>
      <c r="T109">
        <v>1</v>
      </c>
      <c r="U109">
        <v>7017.53</v>
      </c>
    </row>
    <row r="110" spans="1:21" x14ac:dyDescent="0.35">
      <c r="A110">
        <v>8350</v>
      </c>
      <c r="B110">
        <v>39</v>
      </c>
      <c r="C110" t="s">
        <v>27</v>
      </c>
      <c r="D110">
        <v>83411</v>
      </c>
      <c r="E110" t="s">
        <v>31</v>
      </c>
      <c r="F110" t="s">
        <v>26</v>
      </c>
      <c r="G110">
        <v>400.7</v>
      </c>
      <c r="H110">
        <v>0.08</v>
      </c>
      <c r="I110">
        <v>0.2</v>
      </c>
      <c r="J110">
        <v>40</v>
      </c>
      <c r="K110">
        <v>7.77</v>
      </c>
      <c r="L110">
        <v>7.91</v>
      </c>
      <c r="M110">
        <v>6</v>
      </c>
      <c r="N110">
        <v>15</v>
      </c>
      <c r="O110">
        <v>9</v>
      </c>
      <c r="P110">
        <v>5</v>
      </c>
      <c r="Q110">
        <v>1365</v>
      </c>
      <c r="R110" t="s">
        <v>23</v>
      </c>
      <c r="S110" t="s">
        <v>24</v>
      </c>
      <c r="T110">
        <v>1</v>
      </c>
      <c r="U110">
        <v>400.7</v>
      </c>
    </row>
    <row r="111" spans="1:21" x14ac:dyDescent="0.35">
      <c r="A111">
        <v>8351</v>
      </c>
      <c r="B111">
        <v>63</v>
      </c>
      <c r="C111" t="s">
        <v>21</v>
      </c>
      <c r="D111">
        <v>129437</v>
      </c>
      <c r="E111" t="s">
        <v>31</v>
      </c>
      <c r="F111" t="s">
        <v>32</v>
      </c>
      <c r="G111">
        <v>6501.22</v>
      </c>
      <c r="H111">
        <v>0.05</v>
      </c>
      <c r="I111">
        <v>0.14000000000000001</v>
      </c>
      <c r="J111">
        <v>39</v>
      </c>
      <c r="K111">
        <v>1.1599999999999999</v>
      </c>
      <c r="L111">
        <v>13.75</v>
      </c>
      <c r="M111">
        <v>35</v>
      </c>
      <c r="N111">
        <v>7</v>
      </c>
      <c r="O111">
        <v>0</v>
      </c>
      <c r="P111">
        <v>4</v>
      </c>
      <c r="Q111">
        <v>2390</v>
      </c>
      <c r="R111" t="s">
        <v>23</v>
      </c>
      <c r="S111" t="s">
        <v>24</v>
      </c>
      <c r="T111">
        <v>1</v>
      </c>
      <c r="U111">
        <v>6501.22</v>
      </c>
    </row>
    <row r="112" spans="1:21" x14ac:dyDescent="0.35">
      <c r="A112">
        <v>8355</v>
      </c>
      <c r="B112">
        <v>62</v>
      </c>
      <c r="C112" t="s">
        <v>21</v>
      </c>
      <c r="D112">
        <v>20888</v>
      </c>
      <c r="E112" t="s">
        <v>22</v>
      </c>
      <c r="F112" t="s">
        <v>32</v>
      </c>
      <c r="G112">
        <v>5900.4</v>
      </c>
      <c r="H112">
        <v>0.05</v>
      </c>
      <c r="I112">
        <v>0.15</v>
      </c>
      <c r="J112">
        <v>9</v>
      </c>
      <c r="K112">
        <v>8.0500000000000007</v>
      </c>
      <c r="L112">
        <v>10.16</v>
      </c>
      <c r="M112">
        <v>11</v>
      </c>
      <c r="N112">
        <v>16</v>
      </c>
      <c r="O112">
        <v>3</v>
      </c>
      <c r="P112">
        <v>8</v>
      </c>
      <c r="Q112">
        <v>4516</v>
      </c>
      <c r="R112" t="s">
        <v>23</v>
      </c>
      <c r="S112" t="s">
        <v>24</v>
      </c>
      <c r="T112">
        <v>1</v>
      </c>
      <c r="U112">
        <v>5900.4</v>
      </c>
    </row>
    <row r="113" spans="1:21" x14ac:dyDescent="0.35">
      <c r="A113">
        <v>8359</v>
      </c>
      <c r="B113">
        <v>44</v>
      </c>
      <c r="C113" t="s">
        <v>27</v>
      </c>
      <c r="D113">
        <v>49424</v>
      </c>
      <c r="E113" t="s">
        <v>22</v>
      </c>
      <c r="F113" t="s">
        <v>19</v>
      </c>
      <c r="G113">
        <v>1118.0899999999999</v>
      </c>
      <c r="H113">
        <v>0.28999999999999998</v>
      </c>
      <c r="I113">
        <v>0.05</v>
      </c>
      <c r="J113">
        <v>34</v>
      </c>
      <c r="K113">
        <v>4.46</v>
      </c>
      <c r="L113">
        <v>4.78</v>
      </c>
      <c r="M113">
        <v>55</v>
      </c>
      <c r="N113">
        <v>0</v>
      </c>
      <c r="O113">
        <v>8</v>
      </c>
      <c r="P113">
        <v>2</v>
      </c>
      <c r="Q113">
        <v>303</v>
      </c>
      <c r="R113" t="s">
        <v>23</v>
      </c>
      <c r="S113" t="s">
        <v>24</v>
      </c>
      <c r="T113">
        <v>1</v>
      </c>
      <c r="U113">
        <v>1118.0899999999999</v>
      </c>
    </row>
    <row r="114" spans="1:21" x14ac:dyDescent="0.35">
      <c r="A114">
        <v>8363</v>
      </c>
      <c r="B114">
        <v>50</v>
      </c>
      <c r="C114" t="s">
        <v>21</v>
      </c>
      <c r="D114">
        <v>31075</v>
      </c>
      <c r="E114" t="s">
        <v>28</v>
      </c>
      <c r="F114" t="s">
        <v>19</v>
      </c>
      <c r="G114">
        <v>4097.03</v>
      </c>
      <c r="H114">
        <v>0.1</v>
      </c>
      <c r="I114">
        <v>0.13</v>
      </c>
      <c r="J114">
        <v>37</v>
      </c>
      <c r="K114">
        <v>4.2699999999999996</v>
      </c>
      <c r="L114">
        <v>5.47</v>
      </c>
      <c r="M114">
        <v>56</v>
      </c>
      <c r="N114">
        <v>15</v>
      </c>
      <c r="O114">
        <v>9</v>
      </c>
      <c r="P114">
        <v>8</v>
      </c>
      <c r="Q114">
        <v>73</v>
      </c>
      <c r="R114" t="s">
        <v>23</v>
      </c>
      <c r="S114" t="s">
        <v>24</v>
      </c>
      <c r="T114">
        <v>1</v>
      </c>
      <c r="U114">
        <v>4097.03</v>
      </c>
    </row>
    <row r="115" spans="1:21" x14ac:dyDescent="0.35">
      <c r="A115">
        <v>8366</v>
      </c>
      <c r="B115">
        <v>50</v>
      </c>
      <c r="C115" t="s">
        <v>27</v>
      </c>
      <c r="D115">
        <v>136752</v>
      </c>
      <c r="E115" t="s">
        <v>28</v>
      </c>
      <c r="F115" t="s">
        <v>26</v>
      </c>
      <c r="G115">
        <v>776.03</v>
      </c>
      <c r="H115">
        <v>0.23</v>
      </c>
      <c r="I115">
        <v>0.19</v>
      </c>
      <c r="J115">
        <v>36</v>
      </c>
      <c r="K115">
        <v>6.92</v>
      </c>
      <c r="L115">
        <v>4.7</v>
      </c>
      <c r="M115">
        <v>69</v>
      </c>
      <c r="N115">
        <v>6</v>
      </c>
      <c r="O115">
        <v>2</v>
      </c>
      <c r="P115">
        <v>6</v>
      </c>
      <c r="Q115">
        <v>1939</v>
      </c>
      <c r="R115" t="s">
        <v>23</v>
      </c>
      <c r="S115" t="s">
        <v>24</v>
      </c>
      <c r="T115">
        <v>1</v>
      </c>
      <c r="U115">
        <v>776.03</v>
      </c>
    </row>
    <row r="116" spans="1:21" x14ac:dyDescent="0.35">
      <c r="A116">
        <v>8371</v>
      </c>
      <c r="B116">
        <v>52</v>
      </c>
      <c r="C116" t="s">
        <v>21</v>
      </c>
      <c r="D116">
        <v>23569</v>
      </c>
      <c r="E116" t="s">
        <v>31</v>
      </c>
      <c r="F116" t="s">
        <v>19</v>
      </c>
      <c r="G116">
        <v>2028.75</v>
      </c>
      <c r="H116">
        <v>0.11</v>
      </c>
      <c r="I116">
        <v>0.15</v>
      </c>
      <c r="J116">
        <v>2</v>
      </c>
      <c r="K116">
        <v>1.68</v>
      </c>
      <c r="L116">
        <v>13.74</v>
      </c>
      <c r="M116">
        <v>11</v>
      </c>
      <c r="N116">
        <v>16</v>
      </c>
      <c r="O116">
        <v>8</v>
      </c>
      <c r="P116">
        <v>3</v>
      </c>
      <c r="Q116">
        <v>1806</v>
      </c>
      <c r="R116" t="s">
        <v>23</v>
      </c>
      <c r="S116" t="s">
        <v>24</v>
      </c>
      <c r="T116">
        <v>1</v>
      </c>
      <c r="U116">
        <v>2028.75</v>
      </c>
    </row>
    <row r="117" spans="1:21" x14ac:dyDescent="0.35">
      <c r="A117">
        <v>8378</v>
      </c>
      <c r="B117">
        <v>63</v>
      </c>
      <c r="C117" t="s">
        <v>21</v>
      </c>
      <c r="D117">
        <v>112174</v>
      </c>
      <c r="E117" t="s">
        <v>25</v>
      </c>
      <c r="F117" t="s">
        <v>32</v>
      </c>
      <c r="G117">
        <v>5510.91</v>
      </c>
      <c r="H117">
        <v>0.14000000000000001</v>
      </c>
      <c r="I117">
        <v>0.02</v>
      </c>
      <c r="J117">
        <v>15</v>
      </c>
      <c r="K117">
        <v>2</v>
      </c>
      <c r="L117">
        <v>0.59</v>
      </c>
      <c r="M117">
        <v>86</v>
      </c>
      <c r="N117">
        <v>5</v>
      </c>
      <c r="O117">
        <v>4</v>
      </c>
      <c r="P117">
        <v>4</v>
      </c>
      <c r="Q117">
        <v>1278</v>
      </c>
      <c r="R117" t="s">
        <v>23</v>
      </c>
      <c r="S117" t="s">
        <v>24</v>
      </c>
      <c r="T117">
        <v>1</v>
      </c>
      <c r="U117">
        <v>5510.91</v>
      </c>
    </row>
    <row r="118" spans="1:21" x14ac:dyDescent="0.35">
      <c r="A118">
        <v>8381</v>
      </c>
      <c r="B118">
        <v>58</v>
      </c>
      <c r="C118" t="s">
        <v>27</v>
      </c>
      <c r="D118">
        <v>107151</v>
      </c>
      <c r="E118" t="s">
        <v>31</v>
      </c>
      <c r="F118" t="s">
        <v>30</v>
      </c>
      <c r="G118">
        <v>9081.1299999999992</v>
      </c>
      <c r="H118">
        <v>0.17</v>
      </c>
      <c r="I118">
        <v>7.0000000000000007E-2</v>
      </c>
      <c r="J118">
        <v>13</v>
      </c>
      <c r="K118">
        <v>3.42</v>
      </c>
      <c r="L118">
        <v>2.2400000000000002</v>
      </c>
      <c r="M118">
        <v>3</v>
      </c>
      <c r="N118">
        <v>9</v>
      </c>
      <c r="O118">
        <v>6</v>
      </c>
      <c r="P118">
        <v>3</v>
      </c>
      <c r="Q118">
        <v>3124</v>
      </c>
      <c r="R118" t="s">
        <v>23</v>
      </c>
      <c r="S118" t="s">
        <v>24</v>
      </c>
      <c r="T118">
        <v>1</v>
      </c>
      <c r="U118">
        <v>9081.1299999999992</v>
      </c>
    </row>
    <row r="119" spans="1:21" x14ac:dyDescent="0.35">
      <c r="A119">
        <v>8387</v>
      </c>
      <c r="B119">
        <v>48</v>
      </c>
      <c r="C119" t="s">
        <v>27</v>
      </c>
      <c r="D119">
        <v>135513</v>
      </c>
      <c r="E119" t="s">
        <v>29</v>
      </c>
      <c r="F119" t="s">
        <v>32</v>
      </c>
      <c r="G119">
        <v>1538.09</v>
      </c>
      <c r="H119">
        <v>0.09</v>
      </c>
      <c r="I119">
        <v>0.06</v>
      </c>
      <c r="J119">
        <v>48</v>
      </c>
      <c r="K119">
        <v>2.54</v>
      </c>
      <c r="L119">
        <v>8.42</v>
      </c>
      <c r="M119">
        <v>39</v>
      </c>
      <c r="N119">
        <v>13</v>
      </c>
      <c r="O119">
        <v>4</v>
      </c>
      <c r="P119">
        <v>4</v>
      </c>
      <c r="Q119">
        <v>2001</v>
      </c>
      <c r="R119" t="s">
        <v>23</v>
      </c>
      <c r="S119" t="s">
        <v>24</v>
      </c>
      <c r="T119">
        <v>1</v>
      </c>
      <c r="U119">
        <v>1538.09</v>
      </c>
    </row>
    <row r="120" spans="1:21" x14ac:dyDescent="0.35">
      <c r="A120">
        <v>8395</v>
      </c>
      <c r="B120">
        <v>20</v>
      </c>
      <c r="C120" t="s">
        <v>27</v>
      </c>
      <c r="D120">
        <v>21310</v>
      </c>
      <c r="E120" t="s">
        <v>25</v>
      </c>
      <c r="F120" t="s">
        <v>26</v>
      </c>
      <c r="G120">
        <v>2074.81</v>
      </c>
      <c r="H120">
        <v>0.11</v>
      </c>
      <c r="I120">
        <v>0.1</v>
      </c>
      <c r="J120">
        <v>42</v>
      </c>
      <c r="K120">
        <v>5.71</v>
      </c>
      <c r="L120">
        <v>14.79</v>
      </c>
      <c r="M120">
        <v>17</v>
      </c>
      <c r="N120">
        <v>2</v>
      </c>
      <c r="O120">
        <v>7</v>
      </c>
      <c r="P120">
        <v>2</v>
      </c>
      <c r="Q120">
        <v>2905</v>
      </c>
      <c r="R120" t="s">
        <v>23</v>
      </c>
      <c r="S120" t="s">
        <v>24</v>
      </c>
      <c r="T120">
        <v>1</v>
      </c>
      <c r="U120">
        <v>2074.81</v>
      </c>
    </row>
    <row r="121" spans="1:21" x14ac:dyDescent="0.35">
      <c r="A121">
        <v>8396</v>
      </c>
      <c r="B121">
        <v>35</v>
      </c>
      <c r="C121" t="s">
        <v>21</v>
      </c>
      <c r="D121">
        <v>146913</v>
      </c>
      <c r="E121" t="s">
        <v>31</v>
      </c>
      <c r="F121" t="s">
        <v>26</v>
      </c>
      <c r="G121">
        <v>210.26</v>
      </c>
      <c r="H121">
        <v>0.17</v>
      </c>
      <c r="I121">
        <v>0.02</v>
      </c>
      <c r="J121">
        <v>33</v>
      </c>
      <c r="K121">
        <v>7.89</v>
      </c>
      <c r="L121">
        <v>3.34</v>
      </c>
      <c r="M121">
        <v>80</v>
      </c>
      <c r="N121">
        <v>12</v>
      </c>
      <c r="O121">
        <v>1</v>
      </c>
      <c r="P121">
        <v>9</v>
      </c>
      <c r="Q121">
        <v>2392</v>
      </c>
      <c r="R121" t="s">
        <v>23</v>
      </c>
      <c r="S121" t="s">
        <v>24</v>
      </c>
      <c r="T121">
        <v>1</v>
      </c>
      <c r="U121">
        <v>210.26</v>
      </c>
    </row>
    <row r="122" spans="1:21" x14ac:dyDescent="0.35">
      <c r="A122">
        <v>8398</v>
      </c>
      <c r="B122">
        <v>59</v>
      </c>
      <c r="C122" t="s">
        <v>21</v>
      </c>
      <c r="D122">
        <v>133769</v>
      </c>
      <c r="E122" t="s">
        <v>28</v>
      </c>
      <c r="F122" t="s">
        <v>26</v>
      </c>
      <c r="G122">
        <v>401.94</v>
      </c>
      <c r="H122">
        <v>0.22</v>
      </c>
      <c r="I122">
        <v>0.08</v>
      </c>
      <c r="J122">
        <v>27</v>
      </c>
      <c r="K122">
        <v>1.68</v>
      </c>
      <c r="L122">
        <v>7.69</v>
      </c>
      <c r="M122">
        <v>66</v>
      </c>
      <c r="N122">
        <v>16</v>
      </c>
      <c r="O122">
        <v>8</v>
      </c>
      <c r="P122">
        <v>2</v>
      </c>
      <c r="Q122">
        <v>2107</v>
      </c>
      <c r="R122" t="s">
        <v>23</v>
      </c>
      <c r="S122" t="s">
        <v>24</v>
      </c>
      <c r="T122">
        <v>1</v>
      </c>
      <c r="U122">
        <v>401.94</v>
      </c>
    </row>
    <row r="123" spans="1:21" x14ac:dyDescent="0.35">
      <c r="A123">
        <v>8403</v>
      </c>
      <c r="B123">
        <v>41</v>
      </c>
      <c r="C123" t="s">
        <v>27</v>
      </c>
      <c r="D123">
        <v>28906</v>
      </c>
      <c r="E123" t="s">
        <v>22</v>
      </c>
      <c r="F123" t="s">
        <v>32</v>
      </c>
      <c r="G123">
        <v>3520.52</v>
      </c>
      <c r="H123">
        <v>0.11</v>
      </c>
      <c r="I123">
        <v>0.06</v>
      </c>
      <c r="J123">
        <v>33</v>
      </c>
      <c r="K123">
        <v>2.4700000000000002</v>
      </c>
      <c r="L123">
        <v>14.8</v>
      </c>
      <c r="M123">
        <v>46</v>
      </c>
      <c r="N123">
        <v>14</v>
      </c>
      <c r="O123">
        <v>4</v>
      </c>
      <c r="P123">
        <v>7</v>
      </c>
      <c r="Q123">
        <v>450</v>
      </c>
      <c r="R123" t="s">
        <v>23</v>
      </c>
      <c r="S123" t="s">
        <v>24</v>
      </c>
      <c r="T123">
        <v>1</v>
      </c>
      <c r="U123">
        <v>3520.52</v>
      </c>
    </row>
    <row r="124" spans="1:21" x14ac:dyDescent="0.35">
      <c r="A124">
        <v>8408</v>
      </c>
      <c r="B124">
        <v>40</v>
      </c>
      <c r="C124" t="s">
        <v>27</v>
      </c>
      <c r="D124">
        <v>149080</v>
      </c>
      <c r="E124" t="s">
        <v>29</v>
      </c>
      <c r="F124" t="s">
        <v>30</v>
      </c>
      <c r="G124">
        <v>3279.05</v>
      </c>
      <c r="H124">
        <v>0.1</v>
      </c>
      <c r="I124">
        <v>0.04</v>
      </c>
      <c r="J124">
        <v>21</v>
      </c>
      <c r="K124">
        <v>9.16</v>
      </c>
      <c r="L124">
        <v>12.04</v>
      </c>
      <c r="M124">
        <v>11</v>
      </c>
      <c r="N124">
        <v>13</v>
      </c>
      <c r="O124">
        <v>7</v>
      </c>
      <c r="P124">
        <v>4</v>
      </c>
      <c r="Q124">
        <v>4301</v>
      </c>
      <c r="R124" t="s">
        <v>23</v>
      </c>
      <c r="S124" t="s">
        <v>24</v>
      </c>
      <c r="T124">
        <v>1</v>
      </c>
      <c r="U124">
        <v>3279.05</v>
      </c>
    </row>
    <row r="125" spans="1:21" x14ac:dyDescent="0.35">
      <c r="A125">
        <v>8411</v>
      </c>
      <c r="B125">
        <v>59</v>
      </c>
      <c r="C125" t="s">
        <v>21</v>
      </c>
      <c r="D125">
        <v>133591</v>
      </c>
      <c r="E125" t="s">
        <v>28</v>
      </c>
      <c r="F125" t="s">
        <v>30</v>
      </c>
      <c r="G125">
        <v>6270.23</v>
      </c>
      <c r="H125">
        <v>0.22</v>
      </c>
      <c r="I125">
        <v>0.17</v>
      </c>
      <c r="J125">
        <v>35</v>
      </c>
      <c r="K125">
        <v>7.31</v>
      </c>
      <c r="L125">
        <v>1.87</v>
      </c>
      <c r="M125">
        <v>55</v>
      </c>
      <c r="N125">
        <v>3</v>
      </c>
      <c r="O125">
        <v>0</v>
      </c>
      <c r="P125">
        <v>0</v>
      </c>
      <c r="Q125">
        <v>1238</v>
      </c>
      <c r="R125" t="s">
        <v>23</v>
      </c>
      <c r="S125" t="s">
        <v>24</v>
      </c>
      <c r="T125">
        <v>1</v>
      </c>
      <c r="U125">
        <v>6270.23</v>
      </c>
    </row>
    <row r="126" spans="1:21" x14ac:dyDescent="0.35">
      <c r="A126">
        <v>8413</v>
      </c>
      <c r="B126">
        <v>43</v>
      </c>
      <c r="C126" t="s">
        <v>27</v>
      </c>
      <c r="D126">
        <v>43684</v>
      </c>
      <c r="E126" t="s">
        <v>29</v>
      </c>
      <c r="F126" t="s">
        <v>19</v>
      </c>
      <c r="G126">
        <v>4404.55</v>
      </c>
      <c r="H126">
        <v>0.08</v>
      </c>
      <c r="I126">
        <v>0.11</v>
      </c>
      <c r="J126">
        <v>36</v>
      </c>
      <c r="K126">
        <v>9.94</v>
      </c>
      <c r="L126">
        <v>8.5399999999999991</v>
      </c>
      <c r="M126">
        <v>50</v>
      </c>
      <c r="N126">
        <v>8</v>
      </c>
      <c r="O126">
        <v>0</v>
      </c>
      <c r="P126">
        <v>7</v>
      </c>
      <c r="Q126">
        <v>2658</v>
      </c>
      <c r="R126" t="s">
        <v>23</v>
      </c>
      <c r="S126" t="s">
        <v>24</v>
      </c>
      <c r="T126">
        <v>1</v>
      </c>
      <c r="U126">
        <v>4404.55</v>
      </c>
    </row>
    <row r="127" spans="1:21" x14ac:dyDescent="0.35">
      <c r="A127">
        <v>8415</v>
      </c>
      <c r="B127">
        <v>57</v>
      </c>
      <c r="C127" t="s">
        <v>27</v>
      </c>
      <c r="D127">
        <v>65330</v>
      </c>
      <c r="E127" t="s">
        <v>28</v>
      </c>
      <c r="F127" t="s">
        <v>26</v>
      </c>
      <c r="G127">
        <v>5088.59</v>
      </c>
      <c r="H127">
        <v>0.28000000000000003</v>
      </c>
      <c r="I127">
        <v>7.0000000000000007E-2</v>
      </c>
      <c r="J127">
        <v>3</v>
      </c>
      <c r="K127">
        <v>6.17</v>
      </c>
      <c r="L127">
        <v>14.42</v>
      </c>
      <c r="M127">
        <v>72</v>
      </c>
      <c r="N127">
        <v>0</v>
      </c>
      <c r="O127">
        <v>6</v>
      </c>
      <c r="P127">
        <v>3</v>
      </c>
      <c r="Q127">
        <v>3890</v>
      </c>
      <c r="R127" t="s">
        <v>23</v>
      </c>
      <c r="S127" t="s">
        <v>24</v>
      </c>
      <c r="T127">
        <v>1</v>
      </c>
      <c r="U127">
        <v>5088.59</v>
      </c>
    </row>
    <row r="128" spans="1:21" x14ac:dyDescent="0.35">
      <c r="A128">
        <v>8416</v>
      </c>
      <c r="B128">
        <v>50</v>
      </c>
      <c r="C128" t="s">
        <v>21</v>
      </c>
      <c r="D128">
        <v>128214</v>
      </c>
      <c r="E128" t="s">
        <v>31</v>
      </c>
      <c r="F128" t="s">
        <v>19</v>
      </c>
      <c r="G128">
        <v>3906.49</v>
      </c>
      <c r="H128">
        <v>0.09</v>
      </c>
      <c r="I128">
        <v>0.13</v>
      </c>
      <c r="J128">
        <v>3</v>
      </c>
      <c r="K128">
        <v>8.85</v>
      </c>
      <c r="L128">
        <v>6.16</v>
      </c>
      <c r="M128">
        <v>65</v>
      </c>
      <c r="N128">
        <v>11</v>
      </c>
      <c r="O128">
        <v>1</v>
      </c>
      <c r="P128">
        <v>1</v>
      </c>
      <c r="Q128">
        <v>3990</v>
      </c>
      <c r="R128" t="s">
        <v>23</v>
      </c>
      <c r="S128" t="s">
        <v>24</v>
      </c>
      <c r="T128">
        <v>1</v>
      </c>
      <c r="U128">
        <v>3906.49</v>
      </c>
    </row>
    <row r="129" spans="1:21" x14ac:dyDescent="0.35">
      <c r="A129">
        <v>8419</v>
      </c>
      <c r="B129">
        <v>65</v>
      </c>
      <c r="C129" t="s">
        <v>21</v>
      </c>
      <c r="D129">
        <v>112203</v>
      </c>
      <c r="E129" t="s">
        <v>28</v>
      </c>
      <c r="F129" t="s">
        <v>19</v>
      </c>
      <c r="G129">
        <v>5804.86</v>
      </c>
      <c r="H129">
        <v>0.23</v>
      </c>
      <c r="I129">
        <v>0.14000000000000001</v>
      </c>
      <c r="J129">
        <v>42</v>
      </c>
      <c r="K129">
        <v>7.48</v>
      </c>
      <c r="L129">
        <v>5.05</v>
      </c>
      <c r="M129">
        <v>7</v>
      </c>
      <c r="N129">
        <v>2</v>
      </c>
      <c r="O129">
        <v>6</v>
      </c>
      <c r="P129">
        <v>7</v>
      </c>
      <c r="Q129">
        <v>3197</v>
      </c>
      <c r="R129" t="s">
        <v>23</v>
      </c>
      <c r="S129" t="s">
        <v>24</v>
      </c>
      <c r="T129">
        <v>1</v>
      </c>
      <c r="U129">
        <v>5804.86</v>
      </c>
    </row>
    <row r="130" spans="1:21" x14ac:dyDescent="0.35">
      <c r="A130">
        <v>8420</v>
      </c>
      <c r="B130">
        <v>56</v>
      </c>
      <c r="C130" t="s">
        <v>21</v>
      </c>
      <c r="D130">
        <v>45293</v>
      </c>
      <c r="E130" t="s">
        <v>22</v>
      </c>
      <c r="F130" t="s">
        <v>32</v>
      </c>
      <c r="G130">
        <v>1015.35</v>
      </c>
      <c r="H130">
        <v>0.05</v>
      </c>
      <c r="I130">
        <v>0.06</v>
      </c>
      <c r="J130">
        <v>49</v>
      </c>
      <c r="K130">
        <v>6.64</v>
      </c>
      <c r="L130">
        <v>5.17</v>
      </c>
      <c r="M130">
        <v>37</v>
      </c>
      <c r="N130">
        <v>10</v>
      </c>
      <c r="O130">
        <v>2</v>
      </c>
      <c r="P130">
        <v>0</v>
      </c>
      <c r="Q130">
        <v>4258</v>
      </c>
      <c r="R130" t="s">
        <v>23</v>
      </c>
      <c r="S130" t="s">
        <v>24</v>
      </c>
      <c r="T130">
        <v>1</v>
      </c>
      <c r="U130">
        <v>1015.35</v>
      </c>
    </row>
    <row r="131" spans="1:21" x14ac:dyDescent="0.35">
      <c r="A131">
        <v>8421</v>
      </c>
      <c r="B131">
        <v>46</v>
      </c>
      <c r="C131" t="s">
        <v>21</v>
      </c>
      <c r="D131">
        <v>76869</v>
      </c>
      <c r="E131" t="s">
        <v>22</v>
      </c>
      <c r="F131" t="s">
        <v>26</v>
      </c>
      <c r="G131">
        <v>6524.09</v>
      </c>
      <c r="H131">
        <v>0.21</v>
      </c>
      <c r="I131">
        <v>0.13</v>
      </c>
      <c r="J131">
        <v>25</v>
      </c>
      <c r="K131">
        <v>4.6500000000000004</v>
      </c>
      <c r="L131">
        <v>6.95</v>
      </c>
      <c r="M131">
        <v>5</v>
      </c>
      <c r="N131">
        <v>9</v>
      </c>
      <c r="O131">
        <v>4</v>
      </c>
      <c r="P131">
        <v>2</v>
      </c>
      <c r="Q131">
        <v>10</v>
      </c>
      <c r="R131" t="s">
        <v>23</v>
      </c>
      <c r="S131" t="s">
        <v>24</v>
      </c>
      <c r="T131">
        <v>1</v>
      </c>
      <c r="U131">
        <v>6524.09</v>
      </c>
    </row>
    <row r="132" spans="1:21" x14ac:dyDescent="0.35">
      <c r="A132">
        <v>8422</v>
      </c>
      <c r="B132">
        <v>59</v>
      </c>
      <c r="C132" t="s">
        <v>27</v>
      </c>
      <c r="D132">
        <v>110429</v>
      </c>
      <c r="E132" t="s">
        <v>28</v>
      </c>
      <c r="F132" t="s">
        <v>26</v>
      </c>
      <c r="G132">
        <v>4308.2</v>
      </c>
      <c r="H132">
        <v>0.16</v>
      </c>
      <c r="I132">
        <v>0.19</v>
      </c>
      <c r="J132">
        <v>32</v>
      </c>
      <c r="K132">
        <v>9.5</v>
      </c>
      <c r="L132">
        <v>10.55</v>
      </c>
      <c r="M132">
        <v>58</v>
      </c>
      <c r="N132">
        <v>18</v>
      </c>
      <c r="O132">
        <v>0</v>
      </c>
      <c r="P132">
        <v>0</v>
      </c>
      <c r="Q132">
        <v>3441</v>
      </c>
      <c r="R132" t="s">
        <v>23</v>
      </c>
      <c r="S132" t="s">
        <v>24</v>
      </c>
      <c r="T132">
        <v>1</v>
      </c>
      <c r="U132">
        <v>4308.2</v>
      </c>
    </row>
    <row r="133" spans="1:21" x14ac:dyDescent="0.35">
      <c r="A133">
        <v>8425</v>
      </c>
      <c r="B133">
        <v>67</v>
      </c>
      <c r="C133" t="s">
        <v>21</v>
      </c>
      <c r="D133">
        <v>21776</v>
      </c>
      <c r="E133" t="s">
        <v>31</v>
      </c>
      <c r="F133" t="s">
        <v>19</v>
      </c>
      <c r="G133">
        <v>6044.61</v>
      </c>
      <c r="H133">
        <v>0.09</v>
      </c>
      <c r="I133">
        <v>0.15</v>
      </c>
      <c r="J133">
        <v>8</v>
      </c>
      <c r="K133">
        <v>8.26</v>
      </c>
      <c r="L133">
        <v>5.76</v>
      </c>
      <c r="M133">
        <v>55</v>
      </c>
      <c r="N133">
        <v>7</v>
      </c>
      <c r="O133">
        <v>9</v>
      </c>
      <c r="P133">
        <v>5</v>
      </c>
      <c r="Q133">
        <v>4140</v>
      </c>
      <c r="R133" t="s">
        <v>23</v>
      </c>
      <c r="S133" t="s">
        <v>24</v>
      </c>
      <c r="T133">
        <v>1</v>
      </c>
      <c r="U133">
        <v>6044.61</v>
      </c>
    </row>
    <row r="134" spans="1:21" x14ac:dyDescent="0.35">
      <c r="A134">
        <v>8427</v>
      </c>
      <c r="B134">
        <v>41</v>
      </c>
      <c r="C134" t="s">
        <v>27</v>
      </c>
      <c r="D134">
        <v>68281</v>
      </c>
      <c r="E134" t="s">
        <v>31</v>
      </c>
      <c r="F134" t="s">
        <v>32</v>
      </c>
      <c r="G134">
        <v>660.25</v>
      </c>
      <c r="H134">
        <v>0.26</v>
      </c>
      <c r="I134">
        <v>7.0000000000000007E-2</v>
      </c>
      <c r="J134">
        <v>10</v>
      </c>
      <c r="K134">
        <v>1.99</v>
      </c>
      <c r="L134">
        <v>0.87</v>
      </c>
      <c r="M134">
        <v>93</v>
      </c>
      <c r="N134">
        <v>9</v>
      </c>
      <c r="O134">
        <v>3</v>
      </c>
      <c r="P134">
        <v>6</v>
      </c>
      <c r="Q134">
        <v>3591</v>
      </c>
      <c r="R134" t="s">
        <v>23</v>
      </c>
      <c r="S134" t="s">
        <v>24</v>
      </c>
      <c r="T134">
        <v>1</v>
      </c>
      <c r="U134">
        <v>660.25</v>
      </c>
    </row>
    <row r="135" spans="1:21" x14ac:dyDescent="0.35">
      <c r="A135">
        <v>8430</v>
      </c>
      <c r="B135">
        <v>53</v>
      </c>
      <c r="C135" t="s">
        <v>21</v>
      </c>
      <c r="D135">
        <v>51236</v>
      </c>
      <c r="E135" t="s">
        <v>29</v>
      </c>
      <c r="F135" t="s">
        <v>26</v>
      </c>
      <c r="G135">
        <v>5017.95</v>
      </c>
      <c r="H135">
        <v>0.05</v>
      </c>
      <c r="I135">
        <v>0.17</v>
      </c>
      <c r="J135">
        <v>31</v>
      </c>
      <c r="K135">
        <v>1.65</v>
      </c>
      <c r="L135">
        <v>2.44</v>
      </c>
      <c r="M135">
        <v>44</v>
      </c>
      <c r="N135">
        <v>6</v>
      </c>
      <c r="O135">
        <v>7</v>
      </c>
      <c r="P135">
        <v>1</v>
      </c>
      <c r="Q135">
        <v>1816</v>
      </c>
      <c r="R135" t="s">
        <v>23</v>
      </c>
      <c r="S135" t="s">
        <v>24</v>
      </c>
      <c r="T135">
        <v>1</v>
      </c>
      <c r="U135">
        <v>5017.95</v>
      </c>
    </row>
    <row r="136" spans="1:21" x14ac:dyDescent="0.35">
      <c r="A136">
        <v>8433</v>
      </c>
      <c r="B136">
        <v>18</v>
      </c>
      <c r="C136" t="s">
        <v>21</v>
      </c>
      <c r="D136">
        <v>89205</v>
      </c>
      <c r="E136" t="s">
        <v>31</v>
      </c>
      <c r="F136" t="s">
        <v>30</v>
      </c>
      <c r="G136">
        <v>2061.19</v>
      </c>
      <c r="H136">
        <v>0.1</v>
      </c>
      <c r="I136">
        <v>0.12</v>
      </c>
      <c r="J136">
        <v>39</v>
      </c>
      <c r="K136">
        <v>5.2</v>
      </c>
      <c r="L136">
        <v>10.41</v>
      </c>
      <c r="M136">
        <v>49</v>
      </c>
      <c r="N136">
        <v>6</v>
      </c>
      <c r="O136">
        <v>1</v>
      </c>
      <c r="P136">
        <v>0</v>
      </c>
      <c r="Q136">
        <v>3965</v>
      </c>
      <c r="R136" t="s">
        <v>23</v>
      </c>
      <c r="S136" t="s">
        <v>24</v>
      </c>
      <c r="T136">
        <v>1</v>
      </c>
      <c r="U136">
        <v>2061.19</v>
      </c>
    </row>
    <row r="137" spans="1:21" x14ac:dyDescent="0.35">
      <c r="A137">
        <v>8434</v>
      </c>
      <c r="B137">
        <v>25</v>
      </c>
      <c r="C137" t="s">
        <v>21</v>
      </c>
      <c r="D137">
        <v>103120</v>
      </c>
      <c r="E137" t="s">
        <v>25</v>
      </c>
      <c r="F137" t="s">
        <v>30</v>
      </c>
      <c r="G137">
        <v>1072.6400000000001</v>
      </c>
      <c r="H137">
        <v>0.23</v>
      </c>
      <c r="I137">
        <v>0.08</v>
      </c>
      <c r="J137">
        <v>27</v>
      </c>
      <c r="K137">
        <v>9.7200000000000006</v>
      </c>
      <c r="L137">
        <v>6.13</v>
      </c>
      <c r="M137">
        <v>31</v>
      </c>
      <c r="N137">
        <v>15</v>
      </c>
      <c r="O137">
        <v>8</v>
      </c>
      <c r="P137">
        <v>9</v>
      </c>
      <c r="Q137">
        <v>4446</v>
      </c>
      <c r="R137" t="s">
        <v>23</v>
      </c>
      <c r="S137" t="s">
        <v>24</v>
      </c>
      <c r="T137">
        <v>1</v>
      </c>
      <c r="U137">
        <v>1072.6400000000001</v>
      </c>
    </row>
    <row r="138" spans="1:21" x14ac:dyDescent="0.35">
      <c r="A138">
        <v>8440</v>
      </c>
      <c r="B138">
        <v>40</v>
      </c>
      <c r="C138" t="s">
        <v>27</v>
      </c>
      <c r="D138">
        <v>21933</v>
      </c>
      <c r="E138" t="s">
        <v>28</v>
      </c>
      <c r="F138" t="s">
        <v>26</v>
      </c>
      <c r="G138">
        <v>7036.58</v>
      </c>
      <c r="H138">
        <v>0.09</v>
      </c>
      <c r="I138">
        <v>0.1</v>
      </c>
      <c r="J138">
        <v>18</v>
      </c>
      <c r="K138">
        <v>3.97</v>
      </c>
      <c r="L138">
        <v>10.46</v>
      </c>
      <c r="M138">
        <v>65</v>
      </c>
      <c r="N138">
        <v>16</v>
      </c>
      <c r="O138">
        <v>7</v>
      </c>
      <c r="P138">
        <v>1</v>
      </c>
      <c r="Q138">
        <v>3313</v>
      </c>
      <c r="R138" t="s">
        <v>23</v>
      </c>
      <c r="S138" t="s">
        <v>24</v>
      </c>
      <c r="T138">
        <v>1</v>
      </c>
      <c r="U138">
        <v>7036.58</v>
      </c>
    </row>
    <row r="139" spans="1:21" x14ac:dyDescent="0.35">
      <c r="A139">
        <v>8441</v>
      </c>
      <c r="B139">
        <v>32</v>
      </c>
      <c r="C139" t="s">
        <v>27</v>
      </c>
      <c r="D139">
        <v>53514</v>
      </c>
      <c r="E139" t="s">
        <v>25</v>
      </c>
      <c r="F139" t="s">
        <v>32</v>
      </c>
      <c r="G139">
        <v>965.03</v>
      </c>
      <c r="H139">
        <v>0.18</v>
      </c>
      <c r="I139">
        <v>0.08</v>
      </c>
      <c r="J139">
        <v>1</v>
      </c>
      <c r="K139">
        <v>5.98</v>
      </c>
      <c r="L139">
        <v>2.34</v>
      </c>
      <c r="M139">
        <v>66</v>
      </c>
      <c r="N139">
        <v>16</v>
      </c>
      <c r="O139">
        <v>0</v>
      </c>
      <c r="P139">
        <v>8</v>
      </c>
      <c r="Q139">
        <v>4791</v>
      </c>
      <c r="R139" t="s">
        <v>23</v>
      </c>
      <c r="S139" t="s">
        <v>24</v>
      </c>
      <c r="T139">
        <v>1</v>
      </c>
      <c r="U139">
        <v>965.03</v>
      </c>
    </row>
    <row r="140" spans="1:21" x14ac:dyDescent="0.35">
      <c r="A140">
        <v>8445</v>
      </c>
      <c r="B140">
        <v>49</v>
      </c>
      <c r="C140" t="s">
        <v>21</v>
      </c>
      <c r="D140">
        <v>112607</v>
      </c>
      <c r="E140" t="s">
        <v>29</v>
      </c>
      <c r="F140" t="s">
        <v>26</v>
      </c>
      <c r="G140">
        <v>4007.04</v>
      </c>
      <c r="H140">
        <v>0.26</v>
      </c>
      <c r="I140">
        <v>0.05</v>
      </c>
      <c r="J140">
        <v>17</v>
      </c>
      <c r="K140">
        <v>2.38</v>
      </c>
      <c r="L140">
        <v>10.07</v>
      </c>
      <c r="M140">
        <v>17</v>
      </c>
      <c r="N140">
        <v>13</v>
      </c>
      <c r="O140">
        <v>2</v>
      </c>
      <c r="P140">
        <v>7</v>
      </c>
      <c r="Q140">
        <v>3993</v>
      </c>
      <c r="R140" t="s">
        <v>23</v>
      </c>
      <c r="S140" t="s">
        <v>24</v>
      </c>
      <c r="T140">
        <v>1</v>
      </c>
      <c r="U140">
        <v>4007.04</v>
      </c>
    </row>
    <row r="141" spans="1:21" x14ac:dyDescent="0.35">
      <c r="A141">
        <v>8449</v>
      </c>
      <c r="B141">
        <v>42</v>
      </c>
      <c r="C141" t="s">
        <v>21</v>
      </c>
      <c r="D141">
        <v>134501</v>
      </c>
      <c r="E141" t="s">
        <v>25</v>
      </c>
      <c r="F141" t="s">
        <v>32</v>
      </c>
      <c r="G141">
        <v>3009.32</v>
      </c>
      <c r="H141">
        <v>7.0000000000000007E-2</v>
      </c>
      <c r="I141">
        <v>0.06</v>
      </c>
      <c r="J141">
        <v>43</v>
      </c>
      <c r="K141">
        <v>4.92</v>
      </c>
      <c r="L141">
        <v>8.49</v>
      </c>
      <c r="M141">
        <v>84</v>
      </c>
      <c r="N141">
        <v>14</v>
      </c>
      <c r="O141">
        <v>9</v>
      </c>
      <c r="P141">
        <v>2</v>
      </c>
      <c r="Q141">
        <v>2754</v>
      </c>
      <c r="R141" t="s">
        <v>23</v>
      </c>
      <c r="S141" t="s">
        <v>24</v>
      </c>
      <c r="T141">
        <v>1</v>
      </c>
      <c r="U141">
        <v>3009.32</v>
      </c>
    </row>
    <row r="142" spans="1:21" x14ac:dyDescent="0.35">
      <c r="A142">
        <v>8452</v>
      </c>
      <c r="B142">
        <v>66</v>
      </c>
      <c r="C142" t="s">
        <v>21</v>
      </c>
      <c r="D142">
        <v>59695</v>
      </c>
      <c r="E142" t="s">
        <v>31</v>
      </c>
      <c r="F142" t="s">
        <v>26</v>
      </c>
      <c r="G142">
        <v>7709.05</v>
      </c>
      <c r="H142">
        <v>0.04</v>
      </c>
      <c r="I142">
        <v>0.09</v>
      </c>
      <c r="J142">
        <v>37</v>
      </c>
      <c r="K142">
        <v>2.5099999999999998</v>
      </c>
      <c r="L142">
        <v>11.23</v>
      </c>
      <c r="M142">
        <v>63</v>
      </c>
      <c r="N142">
        <v>11</v>
      </c>
      <c r="O142">
        <v>6</v>
      </c>
      <c r="P142">
        <v>1</v>
      </c>
      <c r="Q142">
        <v>162</v>
      </c>
      <c r="R142" t="s">
        <v>23</v>
      </c>
      <c r="S142" t="s">
        <v>24</v>
      </c>
      <c r="T142">
        <v>1</v>
      </c>
      <c r="U142">
        <v>7709.05</v>
      </c>
    </row>
    <row r="143" spans="1:21" x14ac:dyDescent="0.35">
      <c r="A143">
        <v>8457</v>
      </c>
      <c r="B143">
        <v>60</v>
      </c>
      <c r="C143" t="s">
        <v>21</v>
      </c>
      <c r="D143">
        <v>104610</v>
      </c>
      <c r="E143" t="s">
        <v>31</v>
      </c>
      <c r="F143" t="s">
        <v>19</v>
      </c>
      <c r="G143">
        <v>2950.12</v>
      </c>
      <c r="H143">
        <v>0.09</v>
      </c>
      <c r="I143">
        <v>0.11</v>
      </c>
      <c r="J143">
        <v>12</v>
      </c>
      <c r="K143">
        <v>7.11</v>
      </c>
      <c r="L143">
        <v>4.26</v>
      </c>
      <c r="M143">
        <v>72</v>
      </c>
      <c r="N143">
        <v>6</v>
      </c>
      <c r="O143">
        <v>6</v>
      </c>
      <c r="P143">
        <v>2</v>
      </c>
      <c r="Q143">
        <v>4305</v>
      </c>
      <c r="R143" t="s">
        <v>23</v>
      </c>
      <c r="S143" t="s">
        <v>24</v>
      </c>
      <c r="T143">
        <v>1</v>
      </c>
      <c r="U143">
        <v>2950.12</v>
      </c>
    </row>
    <row r="144" spans="1:21" x14ac:dyDescent="0.35">
      <c r="A144">
        <v>8458</v>
      </c>
      <c r="B144">
        <v>54</v>
      </c>
      <c r="C144" t="s">
        <v>21</v>
      </c>
      <c r="D144">
        <v>93410</v>
      </c>
      <c r="E144" t="s">
        <v>28</v>
      </c>
      <c r="F144" t="s">
        <v>26</v>
      </c>
      <c r="G144">
        <v>650.07000000000005</v>
      </c>
      <c r="H144">
        <v>0.27</v>
      </c>
      <c r="I144">
        <v>0.12</v>
      </c>
      <c r="J144">
        <v>21</v>
      </c>
      <c r="K144">
        <v>1.27</v>
      </c>
      <c r="L144">
        <v>9.08</v>
      </c>
      <c r="M144">
        <v>74</v>
      </c>
      <c r="N144">
        <v>2</v>
      </c>
      <c r="O144">
        <v>8</v>
      </c>
      <c r="P144">
        <v>7</v>
      </c>
      <c r="Q144">
        <v>3978</v>
      </c>
      <c r="R144" t="s">
        <v>23</v>
      </c>
      <c r="S144" t="s">
        <v>24</v>
      </c>
      <c r="T144">
        <v>1</v>
      </c>
      <c r="U144">
        <v>650.07000000000005</v>
      </c>
    </row>
    <row r="145" spans="1:21" x14ac:dyDescent="0.35">
      <c r="A145">
        <v>8460</v>
      </c>
      <c r="B145">
        <v>25</v>
      </c>
      <c r="C145" t="s">
        <v>21</v>
      </c>
      <c r="D145">
        <v>59632</v>
      </c>
      <c r="E145" t="s">
        <v>31</v>
      </c>
      <c r="F145" t="s">
        <v>26</v>
      </c>
      <c r="G145">
        <v>6523.08</v>
      </c>
      <c r="H145">
        <v>0.26</v>
      </c>
      <c r="I145">
        <v>0.09</v>
      </c>
      <c r="J145">
        <v>47</v>
      </c>
      <c r="K145">
        <v>7.28</v>
      </c>
      <c r="L145">
        <v>8.31</v>
      </c>
      <c r="M145">
        <v>77</v>
      </c>
      <c r="N145">
        <v>18</v>
      </c>
      <c r="O145">
        <v>5</v>
      </c>
      <c r="P145">
        <v>4</v>
      </c>
      <c r="Q145">
        <v>2616</v>
      </c>
      <c r="R145" t="s">
        <v>23</v>
      </c>
      <c r="S145" t="s">
        <v>24</v>
      </c>
      <c r="T145">
        <v>1</v>
      </c>
      <c r="U145">
        <v>6523.08</v>
      </c>
    </row>
    <row r="146" spans="1:21" x14ac:dyDescent="0.35">
      <c r="A146">
        <v>8461</v>
      </c>
      <c r="B146">
        <v>61</v>
      </c>
      <c r="C146" t="s">
        <v>27</v>
      </c>
      <c r="D146">
        <v>56790</v>
      </c>
      <c r="E146" t="s">
        <v>22</v>
      </c>
      <c r="F146" t="s">
        <v>30</v>
      </c>
      <c r="G146">
        <v>8036.13</v>
      </c>
      <c r="H146">
        <v>0.15</v>
      </c>
      <c r="I146">
        <v>0.12</v>
      </c>
      <c r="J146">
        <v>17</v>
      </c>
      <c r="K146">
        <v>1.5</v>
      </c>
      <c r="L146">
        <v>11.76</v>
      </c>
      <c r="M146">
        <v>37</v>
      </c>
      <c r="N146">
        <v>13</v>
      </c>
      <c r="O146">
        <v>7</v>
      </c>
      <c r="P146">
        <v>0</v>
      </c>
      <c r="Q146">
        <v>3498</v>
      </c>
      <c r="R146" t="s">
        <v>23</v>
      </c>
      <c r="S146" t="s">
        <v>24</v>
      </c>
      <c r="T146">
        <v>1</v>
      </c>
      <c r="U146">
        <v>8036.13</v>
      </c>
    </row>
    <row r="147" spans="1:21" x14ac:dyDescent="0.35">
      <c r="A147">
        <v>8465</v>
      </c>
      <c r="B147">
        <v>21</v>
      </c>
      <c r="C147" t="s">
        <v>21</v>
      </c>
      <c r="D147">
        <v>50885</v>
      </c>
      <c r="E147" t="s">
        <v>25</v>
      </c>
      <c r="F147" t="s">
        <v>30</v>
      </c>
      <c r="G147">
        <v>6309.8</v>
      </c>
      <c r="H147">
        <v>0.03</v>
      </c>
      <c r="I147">
        <v>0.16</v>
      </c>
      <c r="J147">
        <v>32</v>
      </c>
      <c r="K147">
        <v>2.39</v>
      </c>
      <c r="L147">
        <v>8.15</v>
      </c>
      <c r="M147">
        <v>71</v>
      </c>
      <c r="N147">
        <v>4</v>
      </c>
      <c r="O147">
        <v>4</v>
      </c>
      <c r="P147">
        <v>4</v>
      </c>
      <c r="Q147">
        <v>408</v>
      </c>
      <c r="R147" t="s">
        <v>23</v>
      </c>
      <c r="S147" t="s">
        <v>24</v>
      </c>
      <c r="T147">
        <v>1</v>
      </c>
      <c r="U147">
        <v>6309.8</v>
      </c>
    </row>
    <row r="148" spans="1:21" x14ac:dyDescent="0.35">
      <c r="A148">
        <v>8466</v>
      </c>
      <c r="B148">
        <v>23</v>
      </c>
      <c r="C148" t="s">
        <v>27</v>
      </c>
      <c r="D148">
        <v>85214</v>
      </c>
      <c r="E148" t="s">
        <v>25</v>
      </c>
      <c r="F148" t="s">
        <v>30</v>
      </c>
      <c r="G148">
        <v>8095.34</v>
      </c>
      <c r="H148">
        <v>0.28000000000000003</v>
      </c>
      <c r="I148">
        <v>0.2</v>
      </c>
      <c r="J148">
        <v>45</v>
      </c>
      <c r="K148">
        <v>2.44</v>
      </c>
      <c r="L148">
        <v>2.93</v>
      </c>
      <c r="M148">
        <v>93</v>
      </c>
      <c r="N148">
        <v>5</v>
      </c>
      <c r="O148">
        <v>4</v>
      </c>
      <c r="P148">
        <v>2</v>
      </c>
      <c r="Q148">
        <v>2849</v>
      </c>
      <c r="R148" t="s">
        <v>23</v>
      </c>
      <c r="S148" t="s">
        <v>24</v>
      </c>
      <c r="T148">
        <v>1</v>
      </c>
      <c r="U148">
        <v>8095.34</v>
      </c>
    </row>
    <row r="149" spans="1:21" x14ac:dyDescent="0.35">
      <c r="A149">
        <v>8468</v>
      </c>
      <c r="B149">
        <v>49</v>
      </c>
      <c r="C149" t="s">
        <v>21</v>
      </c>
      <c r="D149">
        <v>64870</v>
      </c>
      <c r="E149" t="s">
        <v>22</v>
      </c>
      <c r="F149" t="s">
        <v>30</v>
      </c>
      <c r="G149">
        <v>3048.86</v>
      </c>
      <c r="H149">
        <v>0.11</v>
      </c>
      <c r="I149">
        <v>0.16</v>
      </c>
      <c r="J149">
        <v>34</v>
      </c>
      <c r="K149">
        <v>2.54</v>
      </c>
      <c r="L149">
        <v>14.69</v>
      </c>
      <c r="M149">
        <v>64</v>
      </c>
      <c r="N149">
        <v>9</v>
      </c>
      <c r="O149">
        <v>0</v>
      </c>
      <c r="P149">
        <v>6</v>
      </c>
      <c r="Q149">
        <v>68</v>
      </c>
      <c r="R149" t="s">
        <v>23</v>
      </c>
      <c r="S149" t="s">
        <v>24</v>
      </c>
      <c r="T149">
        <v>1</v>
      </c>
      <c r="U149">
        <v>3048.86</v>
      </c>
    </row>
    <row r="150" spans="1:21" x14ac:dyDescent="0.35">
      <c r="A150">
        <v>8469</v>
      </c>
      <c r="B150">
        <v>69</v>
      </c>
      <c r="C150" t="s">
        <v>21</v>
      </c>
      <c r="D150">
        <v>148217</v>
      </c>
      <c r="E150" t="s">
        <v>22</v>
      </c>
      <c r="F150" t="s">
        <v>32</v>
      </c>
      <c r="G150">
        <v>838.07</v>
      </c>
      <c r="H150">
        <v>0.08</v>
      </c>
      <c r="I150">
        <v>0.06</v>
      </c>
      <c r="J150">
        <v>11</v>
      </c>
      <c r="K150">
        <v>1.54</v>
      </c>
      <c r="L150">
        <v>11.59</v>
      </c>
      <c r="M150">
        <v>88</v>
      </c>
      <c r="N150">
        <v>4</v>
      </c>
      <c r="O150">
        <v>2</v>
      </c>
      <c r="P150">
        <v>0</v>
      </c>
      <c r="Q150">
        <v>3624</v>
      </c>
      <c r="R150" t="s">
        <v>23</v>
      </c>
      <c r="S150" t="s">
        <v>24</v>
      </c>
      <c r="T150">
        <v>0</v>
      </c>
    </row>
    <row r="151" spans="1:21" x14ac:dyDescent="0.35">
      <c r="A151">
        <v>8471</v>
      </c>
      <c r="B151">
        <v>64</v>
      </c>
      <c r="C151" t="s">
        <v>27</v>
      </c>
      <c r="D151">
        <v>129414</v>
      </c>
      <c r="E151" t="s">
        <v>31</v>
      </c>
      <c r="F151" t="s">
        <v>32</v>
      </c>
      <c r="G151">
        <v>1019.34</v>
      </c>
      <c r="H151">
        <v>0.21</v>
      </c>
      <c r="I151">
        <v>0.14000000000000001</v>
      </c>
      <c r="J151">
        <v>33</v>
      </c>
      <c r="K151">
        <v>1.35</v>
      </c>
      <c r="L151">
        <v>13.03</v>
      </c>
      <c r="M151">
        <v>26</v>
      </c>
      <c r="N151">
        <v>6</v>
      </c>
      <c r="O151">
        <v>5</v>
      </c>
      <c r="P151">
        <v>4</v>
      </c>
      <c r="Q151">
        <v>3325</v>
      </c>
      <c r="R151" t="s">
        <v>23</v>
      </c>
      <c r="S151" t="s">
        <v>24</v>
      </c>
      <c r="T151">
        <v>1</v>
      </c>
      <c r="U151">
        <v>1019.34</v>
      </c>
    </row>
    <row r="152" spans="1:21" x14ac:dyDescent="0.35">
      <c r="A152">
        <v>8472</v>
      </c>
      <c r="B152">
        <v>52</v>
      </c>
      <c r="C152" t="s">
        <v>21</v>
      </c>
      <c r="D152">
        <v>25171</v>
      </c>
      <c r="E152" t="s">
        <v>31</v>
      </c>
      <c r="F152" t="s">
        <v>30</v>
      </c>
      <c r="G152">
        <v>2509.7800000000002</v>
      </c>
      <c r="H152">
        <v>0.18</v>
      </c>
      <c r="I152">
        <v>0.02</v>
      </c>
      <c r="J152">
        <v>11</v>
      </c>
      <c r="K152">
        <v>6.98</v>
      </c>
      <c r="L152">
        <v>13.49</v>
      </c>
      <c r="M152">
        <v>24</v>
      </c>
      <c r="N152">
        <v>9</v>
      </c>
      <c r="O152">
        <v>3</v>
      </c>
      <c r="P152">
        <v>6</v>
      </c>
      <c r="Q152">
        <v>2603</v>
      </c>
      <c r="R152" t="s">
        <v>23</v>
      </c>
      <c r="S152" t="s">
        <v>24</v>
      </c>
      <c r="T152">
        <v>1</v>
      </c>
      <c r="U152">
        <v>2509.7800000000002</v>
      </c>
    </row>
    <row r="153" spans="1:21" x14ac:dyDescent="0.35">
      <c r="A153">
        <v>8474</v>
      </c>
      <c r="B153">
        <v>69</v>
      </c>
      <c r="C153" t="s">
        <v>27</v>
      </c>
      <c r="D153">
        <v>38077</v>
      </c>
      <c r="E153" t="s">
        <v>28</v>
      </c>
      <c r="F153" t="s">
        <v>19</v>
      </c>
      <c r="G153">
        <v>9077.42</v>
      </c>
      <c r="H153">
        <v>0.02</v>
      </c>
      <c r="I153">
        <v>0.01</v>
      </c>
      <c r="J153">
        <v>31</v>
      </c>
      <c r="K153">
        <v>1.34</v>
      </c>
      <c r="L153">
        <v>1.27</v>
      </c>
      <c r="M153">
        <v>67</v>
      </c>
      <c r="N153">
        <v>16</v>
      </c>
      <c r="O153">
        <v>9</v>
      </c>
      <c r="P153">
        <v>7</v>
      </c>
      <c r="Q153">
        <v>3563</v>
      </c>
      <c r="R153" t="s">
        <v>23</v>
      </c>
      <c r="S153" t="s">
        <v>24</v>
      </c>
      <c r="T153">
        <v>1</v>
      </c>
      <c r="U153">
        <v>9077.42</v>
      </c>
    </row>
    <row r="154" spans="1:21" x14ac:dyDescent="0.35">
      <c r="A154">
        <v>8481</v>
      </c>
      <c r="B154">
        <v>34</v>
      </c>
      <c r="C154" t="s">
        <v>21</v>
      </c>
      <c r="D154">
        <v>29754</v>
      </c>
      <c r="E154" t="s">
        <v>22</v>
      </c>
      <c r="F154" t="s">
        <v>32</v>
      </c>
      <c r="G154">
        <v>8030.77</v>
      </c>
      <c r="H154">
        <v>0.11</v>
      </c>
      <c r="I154">
        <v>0.19</v>
      </c>
      <c r="J154">
        <v>4</v>
      </c>
      <c r="K154">
        <v>1.59</v>
      </c>
      <c r="L154">
        <v>4.74</v>
      </c>
      <c r="M154">
        <v>75</v>
      </c>
      <c r="N154">
        <v>5</v>
      </c>
      <c r="O154">
        <v>4</v>
      </c>
      <c r="P154">
        <v>8</v>
      </c>
      <c r="Q154">
        <v>4935</v>
      </c>
      <c r="R154" t="s">
        <v>23</v>
      </c>
      <c r="S154" t="s">
        <v>24</v>
      </c>
      <c r="T154">
        <v>1</v>
      </c>
      <c r="U154">
        <v>8030.77</v>
      </c>
    </row>
    <row r="155" spans="1:21" x14ac:dyDescent="0.35">
      <c r="A155">
        <v>8483</v>
      </c>
      <c r="B155">
        <v>45</v>
      </c>
      <c r="C155" t="s">
        <v>21</v>
      </c>
      <c r="D155">
        <v>27048</v>
      </c>
      <c r="E155" t="s">
        <v>29</v>
      </c>
      <c r="F155" t="s">
        <v>26</v>
      </c>
      <c r="G155">
        <v>3605.63</v>
      </c>
      <c r="H155">
        <v>0.19</v>
      </c>
      <c r="I155">
        <v>0.12</v>
      </c>
      <c r="J155">
        <v>5</v>
      </c>
      <c r="K155">
        <v>9.73</v>
      </c>
      <c r="L155">
        <v>7.91</v>
      </c>
      <c r="M155">
        <v>78</v>
      </c>
      <c r="N155">
        <v>4</v>
      </c>
      <c r="O155">
        <v>3</v>
      </c>
      <c r="P155">
        <v>4</v>
      </c>
      <c r="Q155">
        <v>3284</v>
      </c>
      <c r="R155" t="s">
        <v>23</v>
      </c>
      <c r="S155" t="s">
        <v>24</v>
      </c>
      <c r="T155">
        <v>1</v>
      </c>
      <c r="U155">
        <v>3605.63</v>
      </c>
    </row>
    <row r="156" spans="1:21" x14ac:dyDescent="0.35">
      <c r="A156">
        <v>8484</v>
      </c>
      <c r="B156">
        <v>43</v>
      </c>
      <c r="C156" t="s">
        <v>21</v>
      </c>
      <c r="D156">
        <v>42568</v>
      </c>
      <c r="E156" t="s">
        <v>31</v>
      </c>
      <c r="F156" t="s">
        <v>32</v>
      </c>
      <c r="G156">
        <v>7087.85</v>
      </c>
      <c r="H156">
        <v>0.02</v>
      </c>
      <c r="I156">
        <v>0.12</v>
      </c>
      <c r="J156">
        <v>18</v>
      </c>
      <c r="K156">
        <v>1.49</v>
      </c>
      <c r="L156">
        <v>7.36</v>
      </c>
      <c r="M156">
        <v>56</v>
      </c>
      <c r="N156">
        <v>15</v>
      </c>
      <c r="O156">
        <v>8</v>
      </c>
      <c r="P156">
        <v>4</v>
      </c>
      <c r="Q156">
        <v>1194</v>
      </c>
      <c r="R156" t="s">
        <v>23</v>
      </c>
      <c r="S156" t="s">
        <v>24</v>
      </c>
      <c r="T156">
        <v>1</v>
      </c>
      <c r="U156">
        <v>7087.85</v>
      </c>
    </row>
    <row r="157" spans="1:21" x14ac:dyDescent="0.35">
      <c r="A157">
        <v>8486</v>
      </c>
      <c r="B157">
        <v>43</v>
      </c>
      <c r="C157" t="s">
        <v>21</v>
      </c>
      <c r="D157">
        <v>95019</v>
      </c>
      <c r="E157" t="s">
        <v>22</v>
      </c>
      <c r="F157" t="s">
        <v>30</v>
      </c>
      <c r="G157">
        <v>6939.08</v>
      </c>
      <c r="H157">
        <v>0.19</v>
      </c>
      <c r="I157">
        <v>0.12</v>
      </c>
      <c r="J157">
        <v>39</v>
      </c>
      <c r="K157">
        <v>7.05</v>
      </c>
      <c r="L157">
        <v>8.33</v>
      </c>
      <c r="M157">
        <v>68</v>
      </c>
      <c r="N157">
        <v>15</v>
      </c>
      <c r="O157">
        <v>4</v>
      </c>
      <c r="P157">
        <v>8</v>
      </c>
      <c r="Q157">
        <v>2270</v>
      </c>
      <c r="R157" t="s">
        <v>23</v>
      </c>
      <c r="S157" t="s">
        <v>24</v>
      </c>
      <c r="T157">
        <v>1</v>
      </c>
      <c r="U157">
        <v>6939.08</v>
      </c>
    </row>
    <row r="158" spans="1:21" x14ac:dyDescent="0.35">
      <c r="A158">
        <v>8494</v>
      </c>
      <c r="B158">
        <v>49</v>
      </c>
      <c r="C158" t="s">
        <v>27</v>
      </c>
      <c r="D158">
        <v>53746</v>
      </c>
      <c r="E158" t="s">
        <v>22</v>
      </c>
      <c r="F158" t="s">
        <v>30</v>
      </c>
      <c r="G158">
        <v>7760.63</v>
      </c>
      <c r="H158">
        <v>0.28999999999999998</v>
      </c>
      <c r="I158">
        <v>0.08</v>
      </c>
      <c r="J158">
        <v>42</v>
      </c>
      <c r="K158">
        <v>2.31</v>
      </c>
      <c r="L158">
        <v>13.19</v>
      </c>
      <c r="M158">
        <v>93</v>
      </c>
      <c r="N158">
        <v>19</v>
      </c>
      <c r="O158">
        <v>7</v>
      </c>
      <c r="P158">
        <v>1</v>
      </c>
      <c r="Q158">
        <v>814</v>
      </c>
      <c r="R158" t="s">
        <v>23</v>
      </c>
      <c r="S158" t="s">
        <v>24</v>
      </c>
      <c r="T158">
        <v>1</v>
      </c>
      <c r="U158">
        <v>7760.63</v>
      </c>
    </row>
    <row r="159" spans="1:21" x14ac:dyDescent="0.35">
      <c r="A159">
        <v>8500</v>
      </c>
      <c r="B159">
        <v>33</v>
      </c>
      <c r="C159" t="s">
        <v>21</v>
      </c>
      <c r="D159">
        <v>115387</v>
      </c>
      <c r="E159" t="s">
        <v>29</v>
      </c>
      <c r="F159" t="s">
        <v>19</v>
      </c>
      <c r="G159">
        <v>1294.03</v>
      </c>
      <c r="H159">
        <v>0.23</v>
      </c>
      <c r="I159">
        <v>0.03</v>
      </c>
      <c r="J159">
        <v>28</v>
      </c>
      <c r="K159">
        <v>7.54</v>
      </c>
      <c r="L159">
        <v>4.62</v>
      </c>
      <c r="M159">
        <v>28</v>
      </c>
      <c r="N159">
        <v>7</v>
      </c>
      <c r="O159">
        <v>7</v>
      </c>
      <c r="P159">
        <v>3</v>
      </c>
      <c r="Q159">
        <v>3709</v>
      </c>
      <c r="R159" t="s">
        <v>23</v>
      </c>
      <c r="S159" t="s">
        <v>24</v>
      </c>
      <c r="T159">
        <v>1</v>
      </c>
      <c r="U159">
        <v>1294.03</v>
      </c>
    </row>
    <row r="160" spans="1:21" x14ac:dyDescent="0.35">
      <c r="A160">
        <v>8501</v>
      </c>
      <c r="B160">
        <v>56</v>
      </c>
      <c r="C160" t="s">
        <v>27</v>
      </c>
      <c r="D160">
        <v>48756</v>
      </c>
      <c r="E160" t="s">
        <v>31</v>
      </c>
      <c r="F160" t="s">
        <v>32</v>
      </c>
      <c r="G160">
        <v>1739.01</v>
      </c>
      <c r="H160">
        <v>0.06</v>
      </c>
      <c r="I160">
        <v>0.08</v>
      </c>
      <c r="J160">
        <v>1</v>
      </c>
      <c r="K160">
        <v>1.39</v>
      </c>
      <c r="L160">
        <v>12.34</v>
      </c>
      <c r="M160">
        <v>6</v>
      </c>
      <c r="N160">
        <v>12</v>
      </c>
      <c r="O160">
        <v>0</v>
      </c>
      <c r="P160">
        <v>9</v>
      </c>
      <c r="Q160">
        <v>1633</v>
      </c>
      <c r="R160" t="s">
        <v>23</v>
      </c>
      <c r="S160" t="s">
        <v>24</v>
      </c>
      <c r="T160">
        <v>0</v>
      </c>
    </row>
    <row r="161" spans="1:21" x14ac:dyDescent="0.35">
      <c r="A161">
        <v>8502</v>
      </c>
      <c r="B161">
        <v>22</v>
      </c>
      <c r="C161" t="s">
        <v>27</v>
      </c>
      <c r="D161">
        <v>83175</v>
      </c>
      <c r="E161" t="s">
        <v>28</v>
      </c>
      <c r="F161" t="s">
        <v>19</v>
      </c>
      <c r="G161">
        <v>8220.77</v>
      </c>
      <c r="H161">
        <v>0.02</v>
      </c>
      <c r="I161">
        <v>7.0000000000000007E-2</v>
      </c>
      <c r="J161">
        <v>29</v>
      </c>
      <c r="K161">
        <v>7.86</v>
      </c>
      <c r="L161">
        <v>4.34</v>
      </c>
      <c r="M161">
        <v>48</v>
      </c>
      <c r="N161">
        <v>5</v>
      </c>
      <c r="O161">
        <v>4</v>
      </c>
      <c r="P161">
        <v>3</v>
      </c>
      <c r="Q161">
        <v>2097</v>
      </c>
      <c r="R161" t="s">
        <v>23</v>
      </c>
      <c r="S161" t="s">
        <v>24</v>
      </c>
      <c r="T161">
        <v>1</v>
      </c>
      <c r="U161">
        <v>8220.77</v>
      </c>
    </row>
    <row r="162" spans="1:21" x14ac:dyDescent="0.35">
      <c r="A162">
        <v>8503</v>
      </c>
      <c r="B162">
        <v>39</v>
      </c>
      <c r="C162" t="s">
        <v>21</v>
      </c>
      <c r="D162">
        <v>74281</v>
      </c>
      <c r="E162" t="s">
        <v>25</v>
      </c>
      <c r="F162" t="s">
        <v>32</v>
      </c>
      <c r="G162">
        <v>8052.8</v>
      </c>
      <c r="H162">
        <v>7.0000000000000007E-2</v>
      </c>
      <c r="I162">
        <v>0.1</v>
      </c>
      <c r="J162">
        <v>38</v>
      </c>
      <c r="K162">
        <v>3.53</v>
      </c>
      <c r="L162">
        <v>4.24</v>
      </c>
      <c r="M162">
        <v>64</v>
      </c>
      <c r="N162">
        <v>8</v>
      </c>
      <c r="O162">
        <v>2</v>
      </c>
      <c r="P162">
        <v>2</v>
      </c>
      <c r="Q162">
        <v>2738</v>
      </c>
      <c r="R162" t="s">
        <v>23</v>
      </c>
      <c r="S162" t="s">
        <v>24</v>
      </c>
      <c r="T162">
        <v>1</v>
      </c>
      <c r="U162">
        <v>8052.8</v>
      </c>
    </row>
    <row r="163" spans="1:21" x14ac:dyDescent="0.35">
      <c r="A163">
        <v>8507</v>
      </c>
      <c r="B163">
        <v>43</v>
      </c>
      <c r="C163" t="s">
        <v>27</v>
      </c>
      <c r="D163">
        <v>106728</v>
      </c>
      <c r="E163" t="s">
        <v>22</v>
      </c>
      <c r="F163" t="s">
        <v>19</v>
      </c>
      <c r="G163">
        <v>3339.05</v>
      </c>
      <c r="H163">
        <v>0.23</v>
      </c>
      <c r="I163">
        <v>0.02</v>
      </c>
      <c r="J163">
        <v>19</v>
      </c>
      <c r="K163">
        <v>6.71</v>
      </c>
      <c r="L163">
        <v>9.5</v>
      </c>
      <c r="M163">
        <v>98</v>
      </c>
      <c r="N163">
        <v>11</v>
      </c>
      <c r="O163">
        <v>0</v>
      </c>
      <c r="P163">
        <v>4</v>
      </c>
      <c r="Q163">
        <v>424</v>
      </c>
      <c r="R163" t="s">
        <v>23</v>
      </c>
      <c r="S163" t="s">
        <v>24</v>
      </c>
      <c r="T163">
        <v>1</v>
      </c>
      <c r="U163">
        <v>3339.05</v>
      </c>
    </row>
    <row r="164" spans="1:21" x14ac:dyDescent="0.35">
      <c r="A164">
        <v>8509</v>
      </c>
      <c r="B164">
        <v>68</v>
      </c>
      <c r="C164" t="s">
        <v>21</v>
      </c>
      <c r="D164">
        <v>38839</v>
      </c>
      <c r="E164" t="s">
        <v>22</v>
      </c>
      <c r="F164" t="s">
        <v>30</v>
      </c>
      <c r="G164">
        <v>4909.58</v>
      </c>
      <c r="H164">
        <v>0.25</v>
      </c>
      <c r="I164">
        <v>0.1</v>
      </c>
      <c r="J164">
        <v>18</v>
      </c>
      <c r="K164">
        <v>2.6</v>
      </c>
      <c r="L164">
        <v>10.06</v>
      </c>
      <c r="M164">
        <v>84</v>
      </c>
      <c r="N164">
        <v>18</v>
      </c>
      <c r="O164">
        <v>5</v>
      </c>
      <c r="P164">
        <v>6</v>
      </c>
      <c r="Q164">
        <v>4022</v>
      </c>
      <c r="R164" t="s">
        <v>23</v>
      </c>
      <c r="S164" t="s">
        <v>24</v>
      </c>
      <c r="T164">
        <v>1</v>
      </c>
      <c r="U164">
        <v>4909.58</v>
      </c>
    </row>
    <row r="165" spans="1:21" x14ac:dyDescent="0.35">
      <c r="A165">
        <v>8510</v>
      </c>
      <c r="B165">
        <v>54</v>
      </c>
      <c r="C165" t="s">
        <v>27</v>
      </c>
      <c r="D165">
        <v>47410</v>
      </c>
      <c r="E165" t="s">
        <v>25</v>
      </c>
      <c r="F165" t="s">
        <v>19</v>
      </c>
      <c r="G165">
        <v>9300.31</v>
      </c>
      <c r="H165">
        <v>0.24</v>
      </c>
      <c r="I165">
        <v>0.02</v>
      </c>
      <c r="J165">
        <v>5</v>
      </c>
      <c r="K165">
        <v>2.88</v>
      </c>
      <c r="L165">
        <v>14.23</v>
      </c>
      <c r="M165">
        <v>12</v>
      </c>
      <c r="N165">
        <v>18</v>
      </c>
      <c r="O165">
        <v>5</v>
      </c>
      <c r="P165">
        <v>4</v>
      </c>
      <c r="Q165">
        <v>3790</v>
      </c>
      <c r="R165" t="s">
        <v>23</v>
      </c>
      <c r="S165" t="s">
        <v>24</v>
      </c>
      <c r="T165">
        <v>1</v>
      </c>
      <c r="U165">
        <v>9300.31</v>
      </c>
    </row>
    <row r="166" spans="1:21" x14ac:dyDescent="0.35">
      <c r="A166">
        <v>8514</v>
      </c>
      <c r="B166">
        <v>45</v>
      </c>
      <c r="C166" t="s">
        <v>21</v>
      </c>
      <c r="D166">
        <v>137954</v>
      </c>
      <c r="E166" t="s">
        <v>29</v>
      </c>
      <c r="F166" t="s">
        <v>26</v>
      </c>
      <c r="G166">
        <v>9901.9699999999993</v>
      </c>
      <c r="H166">
        <v>0.11</v>
      </c>
      <c r="I166">
        <v>0.13</v>
      </c>
      <c r="J166">
        <v>32</v>
      </c>
      <c r="K166">
        <v>3</v>
      </c>
      <c r="L166">
        <v>5.0599999999999996</v>
      </c>
      <c r="M166">
        <v>72</v>
      </c>
      <c r="N166">
        <v>14</v>
      </c>
      <c r="O166">
        <v>4</v>
      </c>
      <c r="P166">
        <v>9</v>
      </c>
      <c r="Q166">
        <v>2406</v>
      </c>
      <c r="R166" t="s">
        <v>23</v>
      </c>
      <c r="S166" t="s">
        <v>24</v>
      </c>
      <c r="T166">
        <v>1</v>
      </c>
      <c r="U166">
        <v>9901.9699999999993</v>
      </c>
    </row>
    <row r="167" spans="1:21" x14ac:dyDescent="0.35">
      <c r="A167">
        <v>8520</v>
      </c>
      <c r="B167">
        <v>69</v>
      </c>
      <c r="C167" t="s">
        <v>21</v>
      </c>
      <c r="D167">
        <v>41637</v>
      </c>
      <c r="E167" t="s">
        <v>22</v>
      </c>
      <c r="F167" t="s">
        <v>26</v>
      </c>
      <c r="G167">
        <v>5603.16</v>
      </c>
      <c r="H167">
        <v>0.28000000000000003</v>
      </c>
      <c r="I167">
        <v>0.17</v>
      </c>
      <c r="J167">
        <v>0</v>
      </c>
      <c r="K167">
        <v>5.65</v>
      </c>
      <c r="L167">
        <v>1.65</v>
      </c>
      <c r="M167">
        <v>58</v>
      </c>
      <c r="N167">
        <v>12</v>
      </c>
      <c r="O167">
        <v>4</v>
      </c>
      <c r="P167">
        <v>3</v>
      </c>
      <c r="Q167">
        <v>677</v>
      </c>
      <c r="R167" t="s">
        <v>23</v>
      </c>
      <c r="S167" t="s">
        <v>24</v>
      </c>
      <c r="T167">
        <v>1</v>
      </c>
      <c r="U167">
        <v>5603.16</v>
      </c>
    </row>
    <row r="168" spans="1:21" x14ac:dyDescent="0.35">
      <c r="A168">
        <v>8523</v>
      </c>
      <c r="B168">
        <v>33</v>
      </c>
      <c r="C168" t="s">
        <v>21</v>
      </c>
      <c r="D168">
        <v>115017</v>
      </c>
      <c r="E168" t="s">
        <v>31</v>
      </c>
      <c r="F168" t="s">
        <v>30</v>
      </c>
      <c r="G168">
        <v>9380.66</v>
      </c>
      <c r="H168">
        <v>0.16</v>
      </c>
      <c r="I168">
        <v>0.08</v>
      </c>
      <c r="J168">
        <v>21</v>
      </c>
      <c r="K168">
        <v>6.6</v>
      </c>
      <c r="L168">
        <v>14.46</v>
      </c>
      <c r="M168">
        <v>5</v>
      </c>
      <c r="N168">
        <v>14</v>
      </c>
      <c r="O168">
        <v>6</v>
      </c>
      <c r="P168">
        <v>7</v>
      </c>
      <c r="Q168">
        <v>521</v>
      </c>
      <c r="R168" t="s">
        <v>23</v>
      </c>
      <c r="S168" t="s">
        <v>24</v>
      </c>
      <c r="T168">
        <v>1</v>
      </c>
      <c r="U168">
        <v>9380.66</v>
      </c>
    </row>
    <row r="169" spans="1:21" x14ac:dyDescent="0.35">
      <c r="A169">
        <v>8525</v>
      </c>
      <c r="B169">
        <v>43</v>
      </c>
      <c r="C169" t="s">
        <v>27</v>
      </c>
      <c r="D169">
        <v>22589</v>
      </c>
      <c r="E169" t="s">
        <v>22</v>
      </c>
      <c r="F169" t="s">
        <v>30</v>
      </c>
      <c r="G169">
        <v>2804.32</v>
      </c>
      <c r="H169">
        <v>0.28999999999999998</v>
      </c>
      <c r="I169">
        <v>0.04</v>
      </c>
      <c r="J169">
        <v>28</v>
      </c>
      <c r="K169">
        <v>8.64</v>
      </c>
      <c r="L169">
        <v>10.58</v>
      </c>
      <c r="M169">
        <v>30</v>
      </c>
      <c r="N169">
        <v>8</v>
      </c>
      <c r="O169">
        <v>1</v>
      </c>
      <c r="P169">
        <v>5</v>
      </c>
      <c r="Q169">
        <v>1432</v>
      </c>
      <c r="R169" t="s">
        <v>23</v>
      </c>
      <c r="S169" t="s">
        <v>24</v>
      </c>
      <c r="T169">
        <v>1</v>
      </c>
      <c r="U169">
        <v>2804.32</v>
      </c>
    </row>
    <row r="170" spans="1:21" x14ac:dyDescent="0.35">
      <c r="A170">
        <v>8526</v>
      </c>
      <c r="B170">
        <v>65</v>
      </c>
      <c r="C170" t="s">
        <v>21</v>
      </c>
      <c r="D170">
        <v>43560</v>
      </c>
      <c r="E170" t="s">
        <v>29</v>
      </c>
      <c r="F170" t="s">
        <v>30</v>
      </c>
      <c r="G170">
        <v>3038.9</v>
      </c>
      <c r="H170">
        <v>0.22</v>
      </c>
      <c r="I170">
        <v>0.19</v>
      </c>
      <c r="J170">
        <v>35</v>
      </c>
      <c r="K170">
        <v>4.41</v>
      </c>
      <c r="L170">
        <v>8.48</v>
      </c>
      <c r="M170">
        <v>17</v>
      </c>
      <c r="N170">
        <v>16</v>
      </c>
      <c r="O170">
        <v>1</v>
      </c>
      <c r="P170">
        <v>7</v>
      </c>
      <c r="Q170">
        <v>2515</v>
      </c>
      <c r="R170" t="s">
        <v>23</v>
      </c>
      <c r="S170" t="s">
        <v>24</v>
      </c>
      <c r="T170">
        <v>1</v>
      </c>
      <c r="U170">
        <v>3038.9</v>
      </c>
    </row>
    <row r="171" spans="1:21" x14ac:dyDescent="0.35">
      <c r="A171">
        <v>8528</v>
      </c>
      <c r="B171">
        <v>56</v>
      </c>
      <c r="C171" t="s">
        <v>27</v>
      </c>
      <c r="D171">
        <v>20169</v>
      </c>
      <c r="E171" t="s">
        <v>31</v>
      </c>
      <c r="F171" t="s">
        <v>19</v>
      </c>
      <c r="G171">
        <v>2930.09</v>
      </c>
      <c r="H171">
        <v>0.23</v>
      </c>
      <c r="I171">
        <v>0.19</v>
      </c>
      <c r="J171">
        <v>32</v>
      </c>
      <c r="K171">
        <v>2.4700000000000002</v>
      </c>
      <c r="L171">
        <v>2.23</v>
      </c>
      <c r="M171">
        <v>2</v>
      </c>
      <c r="N171">
        <v>9</v>
      </c>
      <c r="O171">
        <v>5</v>
      </c>
      <c r="P171">
        <v>2</v>
      </c>
      <c r="Q171">
        <v>50</v>
      </c>
      <c r="R171" t="s">
        <v>23</v>
      </c>
      <c r="S171" t="s">
        <v>24</v>
      </c>
      <c r="T171">
        <v>1</v>
      </c>
      <c r="U171">
        <v>2930.09</v>
      </c>
    </row>
    <row r="172" spans="1:21" x14ac:dyDescent="0.35">
      <c r="A172">
        <v>8529</v>
      </c>
      <c r="B172">
        <v>53</v>
      </c>
      <c r="C172" t="s">
        <v>21</v>
      </c>
      <c r="D172">
        <v>112449</v>
      </c>
      <c r="E172" t="s">
        <v>28</v>
      </c>
      <c r="F172" t="s">
        <v>32</v>
      </c>
      <c r="G172">
        <v>1016.99</v>
      </c>
      <c r="H172">
        <v>0.15</v>
      </c>
      <c r="I172">
        <v>0.06</v>
      </c>
      <c r="J172">
        <v>38</v>
      </c>
      <c r="K172">
        <v>1.45</v>
      </c>
      <c r="L172">
        <v>2.27</v>
      </c>
      <c r="M172">
        <v>70</v>
      </c>
      <c r="N172">
        <v>8</v>
      </c>
      <c r="O172">
        <v>1</v>
      </c>
      <c r="P172">
        <v>8</v>
      </c>
      <c r="Q172">
        <v>4385</v>
      </c>
      <c r="R172" t="s">
        <v>23</v>
      </c>
      <c r="S172" t="s">
        <v>24</v>
      </c>
      <c r="T172">
        <v>1</v>
      </c>
      <c r="U172">
        <v>1016.99</v>
      </c>
    </row>
    <row r="173" spans="1:21" x14ac:dyDescent="0.35">
      <c r="A173">
        <v>8530</v>
      </c>
      <c r="B173">
        <v>50</v>
      </c>
      <c r="C173" t="s">
        <v>21</v>
      </c>
      <c r="D173">
        <v>23239</v>
      </c>
      <c r="E173" t="s">
        <v>25</v>
      </c>
      <c r="F173" t="s">
        <v>19</v>
      </c>
      <c r="G173">
        <v>5044.54</v>
      </c>
      <c r="H173">
        <v>0.01</v>
      </c>
      <c r="I173">
        <v>0.12</v>
      </c>
      <c r="J173">
        <v>13</v>
      </c>
      <c r="K173">
        <v>2.59</v>
      </c>
      <c r="L173">
        <v>12.43</v>
      </c>
      <c r="M173">
        <v>25</v>
      </c>
      <c r="N173">
        <v>19</v>
      </c>
      <c r="O173">
        <v>4</v>
      </c>
      <c r="P173">
        <v>1</v>
      </c>
      <c r="Q173">
        <v>67</v>
      </c>
      <c r="R173" t="s">
        <v>23</v>
      </c>
      <c r="S173" t="s">
        <v>24</v>
      </c>
      <c r="T173">
        <v>1</v>
      </c>
      <c r="U173">
        <v>5044.54</v>
      </c>
    </row>
    <row r="174" spans="1:21" x14ac:dyDescent="0.35">
      <c r="A174">
        <v>8538</v>
      </c>
      <c r="B174">
        <v>69</v>
      </c>
      <c r="C174" t="s">
        <v>27</v>
      </c>
      <c r="D174">
        <v>141566</v>
      </c>
      <c r="E174" t="s">
        <v>29</v>
      </c>
      <c r="F174" t="s">
        <v>26</v>
      </c>
      <c r="G174">
        <v>3063.27</v>
      </c>
      <c r="H174">
        <v>0.19</v>
      </c>
      <c r="I174">
        <v>7.0000000000000007E-2</v>
      </c>
      <c r="J174">
        <v>4</v>
      </c>
      <c r="K174">
        <v>5.42</v>
      </c>
      <c r="L174">
        <v>11.45</v>
      </c>
      <c r="M174">
        <v>78</v>
      </c>
      <c r="N174">
        <v>9</v>
      </c>
      <c r="O174">
        <v>6</v>
      </c>
      <c r="P174">
        <v>1</v>
      </c>
      <c r="Q174">
        <v>4361</v>
      </c>
      <c r="R174" t="s">
        <v>23</v>
      </c>
      <c r="S174" t="s">
        <v>24</v>
      </c>
      <c r="T174">
        <v>1</v>
      </c>
      <c r="U174">
        <v>3063.27</v>
      </c>
    </row>
    <row r="175" spans="1:21" x14ac:dyDescent="0.35">
      <c r="A175">
        <v>8541</v>
      </c>
      <c r="B175">
        <v>36</v>
      </c>
      <c r="C175" t="s">
        <v>27</v>
      </c>
      <c r="D175">
        <v>59612</v>
      </c>
      <c r="E175" t="s">
        <v>22</v>
      </c>
      <c r="F175" t="s">
        <v>32</v>
      </c>
      <c r="G175">
        <v>4602.93</v>
      </c>
      <c r="H175">
        <v>0.16</v>
      </c>
      <c r="I175">
        <v>0.05</v>
      </c>
      <c r="J175">
        <v>45</v>
      </c>
      <c r="K175">
        <v>1.4</v>
      </c>
      <c r="L175">
        <v>13.75</v>
      </c>
      <c r="M175">
        <v>46</v>
      </c>
      <c r="N175">
        <v>18</v>
      </c>
      <c r="O175">
        <v>1</v>
      </c>
      <c r="P175">
        <v>6</v>
      </c>
      <c r="Q175">
        <v>3336</v>
      </c>
      <c r="R175" t="s">
        <v>23</v>
      </c>
      <c r="S175" t="s">
        <v>24</v>
      </c>
      <c r="T175">
        <v>1</v>
      </c>
      <c r="U175">
        <v>4602.93</v>
      </c>
    </row>
    <row r="176" spans="1:21" x14ac:dyDescent="0.35">
      <c r="A176">
        <v>8544</v>
      </c>
      <c r="B176">
        <v>22</v>
      </c>
      <c r="C176" t="s">
        <v>27</v>
      </c>
      <c r="D176">
        <v>140877</v>
      </c>
      <c r="E176" t="s">
        <v>28</v>
      </c>
      <c r="F176" t="s">
        <v>19</v>
      </c>
      <c r="G176">
        <v>8960.17</v>
      </c>
      <c r="H176">
        <v>0.01</v>
      </c>
      <c r="I176">
        <v>0.02</v>
      </c>
      <c r="J176">
        <v>47</v>
      </c>
      <c r="K176">
        <v>7.18</v>
      </c>
      <c r="L176">
        <v>12.57</v>
      </c>
      <c r="M176">
        <v>95</v>
      </c>
      <c r="N176">
        <v>16</v>
      </c>
      <c r="O176">
        <v>7</v>
      </c>
      <c r="P176">
        <v>8</v>
      </c>
      <c r="Q176">
        <v>4209</v>
      </c>
      <c r="R176" t="s">
        <v>23</v>
      </c>
      <c r="S176" t="s">
        <v>24</v>
      </c>
      <c r="T176">
        <v>1</v>
      </c>
      <c r="U176">
        <v>8960.17</v>
      </c>
    </row>
    <row r="177" spans="1:21" x14ac:dyDescent="0.35">
      <c r="A177">
        <v>8545</v>
      </c>
      <c r="B177">
        <v>62</v>
      </c>
      <c r="C177" t="s">
        <v>21</v>
      </c>
      <c r="D177">
        <v>122269</v>
      </c>
      <c r="E177" t="s">
        <v>31</v>
      </c>
      <c r="F177" t="s">
        <v>32</v>
      </c>
      <c r="G177">
        <v>1610.69</v>
      </c>
      <c r="H177">
        <v>0.26</v>
      </c>
      <c r="I177">
        <v>0.04</v>
      </c>
      <c r="J177">
        <v>36</v>
      </c>
      <c r="K177">
        <v>5.59</v>
      </c>
      <c r="L177">
        <v>1.35</v>
      </c>
      <c r="M177">
        <v>87</v>
      </c>
      <c r="N177">
        <v>2</v>
      </c>
      <c r="O177">
        <v>8</v>
      </c>
      <c r="P177">
        <v>4</v>
      </c>
      <c r="Q177">
        <v>1727</v>
      </c>
      <c r="R177" t="s">
        <v>23</v>
      </c>
      <c r="S177" t="s">
        <v>24</v>
      </c>
      <c r="T177">
        <v>1</v>
      </c>
      <c r="U177">
        <v>1610.69</v>
      </c>
    </row>
    <row r="178" spans="1:21" x14ac:dyDescent="0.35">
      <c r="A178">
        <v>8546</v>
      </c>
      <c r="B178">
        <v>21</v>
      </c>
      <c r="C178" t="s">
        <v>27</v>
      </c>
      <c r="D178">
        <v>59952</v>
      </c>
      <c r="E178" t="s">
        <v>22</v>
      </c>
      <c r="F178" t="s">
        <v>26</v>
      </c>
      <c r="G178">
        <v>2001.8</v>
      </c>
      <c r="H178">
        <v>0.01</v>
      </c>
      <c r="I178">
        <v>0.13</v>
      </c>
      <c r="J178">
        <v>26</v>
      </c>
      <c r="K178">
        <v>8.42</v>
      </c>
      <c r="L178">
        <v>9.49</v>
      </c>
      <c r="M178">
        <v>83</v>
      </c>
      <c r="N178">
        <v>2</v>
      </c>
      <c r="O178">
        <v>3</v>
      </c>
      <c r="P178">
        <v>6</v>
      </c>
      <c r="Q178">
        <v>662</v>
      </c>
      <c r="R178" t="s">
        <v>23</v>
      </c>
      <c r="S178" t="s">
        <v>24</v>
      </c>
      <c r="T178">
        <v>1</v>
      </c>
      <c r="U178">
        <v>2001.8</v>
      </c>
    </row>
    <row r="179" spans="1:21" x14ac:dyDescent="0.35">
      <c r="A179">
        <v>8553</v>
      </c>
      <c r="B179">
        <v>49</v>
      </c>
      <c r="C179" t="s">
        <v>27</v>
      </c>
      <c r="D179">
        <v>47260</v>
      </c>
      <c r="E179" t="s">
        <v>22</v>
      </c>
      <c r="F179" t="s">
        <v>30</v>
      </c>
      <c r="G179">
        <v>5800.88</v>
      </c>
      <c r="H179">
        <v>0.19</v>
      </c>
      <c r="I179">
        <v>0.08</v>
      </c>
      <c r="J179">
        <v>28</v>
      </c>
      <c r="K179">
        <v>4.0199999999999996</v>
      </c>
      <c r="L179">
        <v>12.89</v>
      </c>
      <c r="M179">
        <v>15</v>
      </c>
      <c r="N179">
        <v>5</v>
      </c>
      <c r="O179">
        <v>2</v>
      </c>
      <c r="P179">
        <v>8</v>
      </c>
      <c r="Q179">
        <v>3227</v>
      </c>
      <c r="R179" t="s">
        <v>23</v>
      </c>
      <c r="S179" t="s">
        <v>24</v>
      </c>
      <c r="T179">
        <v>1</v>
      </c>
      <c r="U179">
        <v>5800.88</v>
      </c>
    </row>
    <row r="180" spans="1:21" x14ac:dyDescent="0.35">
      <c r="A180">
        <v>8554</v>
      </c>
      <c r="B180">
        <v>44</v>
      </c>
      <c r="C180" t="s">
        <v>21</v>
      </c>
      <c r="D180">
        <v>52879</v>
      </c>
      <c r="E180" t="s">
        <v>28</v>
      </c>
      <c r="F180" t="s">
        <v>19</v>
      </c>
      <c r="G180">
        <v>6270.75</v>
      </c>
      <c r="H180">
        <v>0.25</v>
      </c>
      <c r="I180">
        <v>0.08</v>
      </c>
      <c r="J180">
        <v>30</v>
      </c>
      <c r="K180">
        <v>6.14</v>
      </c>
      <c r="L180">
        <v>6.41</v>
      </c>
      <c r="M180">
        <v>64</v>
      </c>
      <c r="N180">
        <v>9</v>
      </c>
      <c r="O180">
        <v>1</v>
      </c>
      <c r="P180">
        <v>6</v>
      </c>
      <c r="Q180">
        <v>3226</v>
      </c>
      <c r="R180" t="s">
        <v>23</v>
      </c>
      <c r="S180" t="s">
        <v>24</v>
      </c>
      <c r="T180">
        <v>1</v>
      </c>
      <c r="U180">
        <v>6270.75</v>
      </c>
    </row>
    <row r="181" spans="1:21" x14ac:dyDescent="0.35">
      <c r="A181">
        <v>8556</v>
      </c>
      <c r="B181">
        <v>41</v>
      </c>
      <c r="C181" t="s">
        <v>21</v>
      </c>
      <c r="D181">
        <v>69744</v>
      </c>
      <c r="E181" t="s">
        <v>31</v>
      </c>
      <c r="F181" t="s">
        <v>30</v>
      </c>
      <c r="G181">
        <v>7390.87</v>
      </c>
      <c r="H181">
        <v>0.14000000000000001</v>
      </c>
      <c r="I181">
        <v>0.12</v>
      </c>
      <c r="J181">
        <v>7</v>
      </c>
      <c r="K181">
        <v>9.8800000000000008</v>
      </c>
      <c r="L181">
        <v>14.51</v>
      </c>
      <c r="M181">
        <v>70</v>
      </c>
      <c r="N181">
        <v>8</v>
      </c>
      <c r="O181">
        <v>7</v>
      </c>
      <c r="P181">
        <v>3</v>
      </c>
      <c r="Q181">
        <v>1046</v>
      </c>
      <c r="R181" t="s">
        <v>23</v>
      </c>
      <c r="S181" t="s">
        <v>24</v>
      </c>
      <c r="T181">
        <v>1</v>
      </c>
      <c r="U181">
        <v>7390.87</v>
      </c>
    </row>
    <row r="182" spans="1:21" x14ac:dyDescent="0.35">
      <c r="A182">
        <v>8561</v>
      </c>
      <c r="B182">
        <v>50</v>
      </c>
      <c r="C182" t="s">
        <v>27</v>
      </c>
      <c r="D182">
        <v>112551</v>
      </c>
      <c r="E182" t="s">
        <v>25</v>
      </c>
      <c r="F182" t="s">
        <v>32</v>
      </c>
      <c r="G182">
        <v>2084.5100000000002</v>
      </c>
      <c r="H182">
        <v>7.0000000000000007E-2</v>
      </c>
      <c r="I182">
        <v>0.02</v>
      </c>
      <c r="J182">
        <v>25</v>
      </c>
      <c r="K182">
        <v>9.48</v>
      </c>
      <c r="L182">
        <v>1.81</v>
      </c>
      <c r="M182">
        <v>70</v>
      </c>
      <c r="N182">
        <v>15</v>
      </c>
      <c r="O182">
        <v>8</v>
      </c>
      <c r="P182">
        <v>7</v>
      </c>
      <c r="Q182">
        <v>325</v>
      </c>
      <c r="R182" t="s">
        <v>23</v>
      </c>
      <c r="S182" t="s">
        <v>24</v>
      </c>
      <c r="T182">
        <v>0</v>
      </c>
    </row>
    <row r="183" spans="1:21" x14ac:dyDescent="0.35">
      <c r="A183">
        <v>8565</v>
      </c>
      <c r="B183">
        <v>29</v>
      </c>
      <c r="C183" t="s">
        <v>27</v>
      </c>
      <c r="D183">
        <v>39178</v>
      </c>
      <c r="E183" t="s">
        <v>28</v>
      </c>
      <c r="F183" t="s">
        <v>26</v>
      </c>
      <c r="G183">
        <v>9800.91</v>
      </c>
      <c r="H183">
        <v>0.15</v>
      </c>
      <c r="I183">
        <v>0.15</v>
      </c>
      <c r="J183">
        <v>22</v>
      </c>
      <c r="K183">
        <v>6.09</v>
      </c>
      <c r="L183">
        <v>5.79</v>
      </c>
      <c r="M183">
        <v>13</v>
      </c>
      <c r="N183">
        <v>1</v>
      </c>
      <c r="O183">
        <v>7</v>
      </c>
      <c r="P183">
        <v>7</v>
      </c>
      <c r="Q183">
        <v>4056</v>
      </c>
      <c r="R183" t="s">
        <v>23</v>
      </c>
      <c r="S183" t="s">
        <v>24</v>
      </c>
      <c r="T183">
        <v>1</v>
      </c>
      <c r="U183">
        <v>9800.91</v>
      </c>
    </row>
    <row r="184" spans="1:21" x14ac:dyDescent="0.35">
      <c r="A184">
        <v>8569</v>
      </c>
      <c r="B184">
        <v>57</v>
      </c>
      <c r="C184" t="s">
        <v>21</v>
      </c>
      <c r="D184">
        <v>129365</v>
      </c>
      <c r="E184" t="s">
        <v>22</v>
      </c>
      <c r="F184" t="s">
        <v>19</v>
      </c>
      <c r="G184">
        <v>9309.93</v>
      </c>
      <c r="H184">
        <v>0.25</v>
      </c>
      <c r="I184">
        <v>0.04</v>
      </c>
      <c r="J184">
        <v>32</v>
      </c>
      <c r="K184">
        <v>2.29</v>
      </c>
      <c r="L184">
        <v>7.07</v>
      </c>
      <c r="M184">
        <v>3</v>
      </c>
      <c r="N184">
        <v>14</v>
      </c>
      <c r="O184">
        <v>6</v>
      </c>
      <c r="P184">
        <v>2</v>
      </c>
      <c r="Q184">
        <v>1064</v>
      </c>
      <c r="R184" t="s">
        <v>23</v>
      </c>
      <c r="S184" t="s">
        <v>24</v>
      </c>
      <c r="T184">
        <v>1</v>
      </c>
      <c r="U184">
        <v>9309.93</v>
      </c>
    </row>
    <row r="185" spans="1:21" x14ac:dyDescent="0.35">
      <c r="A185">
        <v>8571</v>
      </c>
      <c r="B185">
        <v>60</v>
      </c>
      <c r="C185" t="s">
        <v>21</v>
      </c>
      <c r="D185">
        <v>56366</v>
      </c>
      <c r="E185" t="s">
        <v>29</v>
      </c>
      <c r="F185" t="s">
        <v>26</v>
      </c>
      <c r="G185">
        <v>4760.83</v>
      </c>
      <c r="H185">
        <v>0.05</v>
      </c>
      <c r="I185">
        <v>0.1</v>
      </c>
      <c r="J185">
        <v>48</v>
      </c>
      <c r="K185">
        <v>6.46</v>
      </c>
      <c r="L185">
        <v>9.52</v>
      </c>
      <c r="M185">
        <v>42</v>
      </c>
      <c r="N185">
        <v>12</v>
      </c>
      <c r="O185">
        <v>1</v>
      </c>
      <c r="P185">
        <v>9</v>
      </c>
      <c r="Q185">
        <v>1449</v>
      </c>
      <c r="R185" t="s">
        <v>23</v>
      </c>
      <c r="S185" t="s">
        <v>24</v>
      </c>
      <c r="T185">
        <v>1</v>
      </c>
      <c r="U185">
        <v>4760.83</v>
      </c>
    </row>
    <row r="186" spans="1:21" x14ac:dyDescent="0.35">
      <c r="A186">
        <v>8573</v>
      </c>
      <c r="B186">
        <v>46</v>
      </c>
      <c r="C186" t="s">
        <v>27</v>
      </c>
      <c r="D186">
        <v>119830</v>
      </c>
      <c r="E186" t="s">
        <v>29</v>
      </c>
      <c r="F186" t="s">
        <v>32</v>
      </c>
      <c r="G186">
        <v>5260.54</v>
      </c>
      <c r="H186">
        <v>0.2</v>
      </c>
      <c r="I186">
        <v>0.02</v>
      </c>
      <c r="J186">
        <v>11</v>
      </c>
      <c r="K186">
        <v>7.83</v>
      </c>
      <c r="L186">
        <v>8.23</v>
      </c>
      <c r="M186">
        <v>83</v>
      </c>
      <c r="N186">
        <v>4</v>
      </c>
      <c r="O186">
        <v>7</v>
      </c>
      <c r="P186">
        <v>3</v>
      </c>
      <c r="Q186">
        <v>1606</v>
      </c>
      <c r="R186" t="s">
        <v>23</v>
      </c>
      <c r="S186" t="s">
        <v>24</v>
      </c>
      <c r="T186">
        <v>1</v>
      </c>
      <c r="U186">
        <v>5260.54</v>
      </c>
    </row>
    <row r="187" spans="1:21" x14ac:dyDescent="0.35">
      <c r="A187">
        <v>8575</v>
      </c>
      <c r="B187">
        <v>29</v>
      </c>
      <c r="C187" t="s">
        <v>21</v>
      </c>
      <c r="D187">
        <v>120273</v>
      </c>
      <c r="E187" t="s">
        <v>31</v>
      </c>
      <c r="F187" t="s">
        <v>26</v>
      </c>
      <c r="G187">
        <v>3109.99</v>
      </c>
      <c r="H187">
        <v>0.08</v>
      </c>
      <c r="I187">
        <v>0.12</v>
      </c>
      <c r="J187">
        <v>41</v>
      </c>
      <c r="K187">
        <v>8.5500000000000007</v>
      </c>
      <c r="L187">
        <v>7.18</v>
      </c>
      <c r="M187">
        <v>5</v>
      </c>
      <c r="N187">
        <v>9</v>
      </c>
      <c r="O187">
        <v>6</v>
      </c>
      <c r="P187">
        <v>9</v>
      </c>
      <c r="Q187">
        <v>4173</v>
      </c>
      <c r="R187" t="s">
        <v>23</v>
      </c>
      <c r="S187" t="s">
        <v>24</v>
      </c>
      <c r="T187">
        <v>1</v>
      </c>
      <c r="U187">
        <v>3109.99</v>
      </c>
    </row>
    <row r="188" spans="1:21" x14ac:dyDescent="0.35">
      <c r="A188">
        <v>8582</v>
      </c>
      <c r="B188">
        <v>40</v>
      </c>
      <c r="C188" t="s">
        <v>27</v>
      </c>
      <c r="D188">
        <v>146866</v>
      </c>
      <c r="E188" t="s">
        <v>31</v>
      </c>
      <c r="F188" t="s">
        <v>26</v>
      </c>
      <c r="G188">
        <v>6051.11</v>
      </c>
      <c r="H188">
        <v>0.04</v>
      </c>
      <c r="I188">
        <v>0.11</v>
      </c>
      <c r="J188">
        <v>49</v>
      </c>
      <c r="K188">
        <v>7.81</v>
      </c>
      <c r="L188">
        <v>9.34</v>
      </c>
      <c r="M188">
        <v>37</v>
      </c>
      <c r="N188">
        <v>12</v>
      </c>
      <c r="O188">
        <v>5</v>
      </c>
      <c r="P188">
        <v>8</v>
      </c>
      <c r="Q188">
        <v>3613</v>
      </c>
      <c r="R188" t="s">
        <v>23</v>
      </c>
      <c r="S188" t="s">
        <v>24</v>
      </c>
      <c r="T188">
        <v>1</v>
      </c>
      <c r="U188">
        <v>6051.11</v>
      </c>
    </row>
    <row r="189" spans="1:21" x14ac:dyDescent="0.35">
      <c r="A189">
        <v>8583</v>
      </c>
      <c r="B189">
        <v>34</v>
      </c>
      <c r="C189" t="s">
        <v>21</v>
      </c>
      <c r="D189">
        <v>120658</v>
      </c>
      <c r="E189" t="s">
        <v>25</v>
      </c>
      <c r="F189" t="s">
        <v>32</v>
      </c>
      <c r="G189">
        <v>7085.47</v>
      </c>
      <c r="H189">
        <v>0.21</v>
      </c>
      <c r="I189">
        <v>7.0000000000000007E-2</v>
      </c>
      <c r="J189">
        <v>1</v>
      </c>
      <c r="K189">
        <v>5.65</v>
      </c>
      <c r="L189">
        <v>10.75</v>
      </c>
      <c r="M189">
        <v>65</v>
      </c>
      <c r="N189">
        <v>3</v>
      </c>
      <c r="O189">
        <v>2</v>
      </c>
      <c r="P189">
        <v>3</v>
      </c>
      <c r="Q189">
        <v>2277</v>
      </c>
      <c r="R189" t="s">
        <v>23</v>
      </c>
      <c r="S189" t="s">
        <v>24</v>
      </c>
      <c r="T189">
        <v>1</v>
      </c>
      <c r="U189">
        <v>7085.47</v>
      </c>
    </row>
    <row r="190" spans="1:21" x14ac:dyDescent="0.35">
      <c r="A190">
        <v>8584</v>
      </c>
      <c r="B190">
        <v>43</v>
      </c>
      <c r="C190" t="s">
        <v>21</v>
      </c>
      <c r="D190">
        <v>123623</v>
      </c>
      <c r="E190" t="s">
        <v>22</v>
      </c>
      <c r="F190" t="s">
        <v>30</v>
      </c>
      <c r="G190">
        <v>4008.13</v>
      </c>
      <c r="H190">
        <v>0.08</v>
      </c>
      <c r="I190">
        <v>0.17</v>
      </c>
      <c r="J190">
        <v>6</v>
      </c>
      <c r="K190">
        <v>8.81</v>
      </c>
      <c r="L190">
        <v>9.64</v>
      </c>
      <c r="M190">
        <v>64</v>
      </c>
      <c r="N190">
        <v>13</v>
      </c>
      <c r="O190">
        <v>5</v>
      </c>
      <c r="P190">
        <v>7</v>
      </c>
      <c r="Q190">
        <v>2814</v>
      </c>
      <c r="R190" t="s">
        <v>23</v>
      </c>
      <c r="S190" t="s">
        <v>24</v>
      </c>
      <c r="T190">
        <v>1</v>
      </c>
      <c r="U190">
        <v>4008.13</v>
      </c>
    </row>
    <row r="191" spans="1:21" x14ac:dyDescent="0.35">
      <c r="A191">
        <v>8586</v>
      </c>
      <c r="B191">
        <v>46</v>
      </c>
      <c r="C191" t="s">
        <v>21</v>
      </c>
      <c r="D191">
        <v>132824</v>
      </c>
      <c r="E191" t="s">
        <v>25</v>
      </c>
      <c r="F191" t="s">
        <v>32</v>
      </c>
      <c r="G191">
        <v>9096.17</v>
      </c>
      <c r="H191">
        <v>0.06</v>
      </c>
      <c r="I191">
        <v>0.17</v>
      </c>
      <c r="J191">
        <v>21</v>
      </c>
      <c r="K191">
        <v>8.19</v>
      </c>
      <c r="L191">
        <v>8.27</v>
      </c>
      <c r="M191">
        <v>29</v>
      </c>
      <c r="N191">
        <v>6</v>
      </c>
      <c r="O191">
        <v>0</v>
      </c>
      <c r="P191">
        <v>6</v>
      </c>
      <c r="Q191">
        <v>1477</v>
      </c>
      <c r="R191" t="s">
        <v>23</v>
      </c>
      <c r="S191" t="s">
        <v>24</v>
      </c>
      <c r="T191">
        <v>1</v>
      </c>
      <c r="U191">
        <v>9096.17</v>
      </c>
    </row>
    <row r="192" spans="1:21" x14ac:dyDescent="0.35">
      <c r="A192">
        <v>8589</v>
      </c>
      <c r="B192">
        <v>43</v>
      </c>
      <c r="C192" t="s">
        <v>21</v>
      </c>
      <c r="D192">
        <v>118917</v>
      </c>
      <c r="E192" t="s">
        <v>22</v>
      </c>
      <c r="F192" t="s">
        <v>19</v>
      </c>
      <c r="G192">
        <v>5018.95</v>
      </c>
      <c r="H192">
        <v>0.06</v>
      </c>
      <c r="I192">
        <v>0.19</v>
      </c>
      <c r="J192">
        <v>19</v>
      </c>
      <c r="K192">
        <v>2.9</v>
      </c>
      <c r="L192">
        <v>1.81</v>
      </c>
      <c r="M192">
        <v>31</v>
      </c>
      <c r="N192">
        <v>4</v>
      </c>
      <c r="O192">
        <v>4</v>
      </c>
      <c r="P192">
        <v>2</v>
      </c>
      <c r="Q192">
        <v>4641</v>
      </c>
      <c r="R192" t="s">
        <v>23</v>
      </c>
      <c r="S192" t="s">
        <v>24</v>
      </c>
      <c r="T192">
        <v>1</v>
      </c>
      <c r="U192">
        <v>5018.95</v>
      </c>
    </row>
    <row r="193" spans="1:21" x14ac:dyDescent="0.35">
      <c r="A193">
        <v>8593</v>
      </c>
      <c r="B193">
        <v>24</v>
      </c>
      <c r="C193" t="s">
        <v>21</v>
      </c>
      <c r="D193">
        <v>61770</v>
      </c>
      <c r="E193" t="s">
        <v>28</v>
      </c>
      <c r="F193" t="s">
        <v>26</v>
      </c>
      <c r="G193">
        <v>5220.51</v>
      </c>
      <c r="H193">
        <v>0.28999999999999998</v>
      </c>
      <c r="I193">
        <v>0.1</v>
      </c>
      <c r="J193">
        <v>2</v>
      </c>
      <c r="K193">
        <v>4.28</v>
      </c>
      <c r="L193">
        <v>11.69</v>
      </c>
      <c r="M193">
        <v>4</v>
      </c>
      <c r="N193">
        <v>7</v>
      </c>
      <c r="O193">
        <v>6</v>
      </c>
      <c r="P193">
        <v>7</v>
      </c>
      <c r="Q193">
        <v>2090</v>
      </c>
      <c r="R193" t="s">
        <v>23</v>
      </c>
      <c r="S193" t="s">
        <v>24</v>
      </c>
      <c r="T193">
        <v>1</v>
      </c>
      <c r="U193">
        <v>5220.51</v>
      </c>
    </row>
    <row r="194" spans="1:21" x14ac:dyDescent="0.35">
      <c r="A194">
        <v>8594</v>
      </c>
      <c r="B194">
        <v>21</v>
      </c>
      <c r="C194" t="s">
        <v>21</v>
      </c>
      <c r="D194">
        <v>42300</v>
      </c>
      <c r="E194" t="s">
        <v>29</v>
      </c>
      <c r="F194" t="s">
        <v>26</v>
      </c>
      <c r="G194">
        <v>2161.0300000000002</v>
      </c>
      <c r="H194">
        <v>0.24</v>
      </c>
      <c r="I194">
        <v>0.11</v>
      </c>
      <c r="J194">
        <v>49</v>
      </c>
      <c r="K194">
        <v>9.27</v>
      </c>
      <c r="L194">
        <v>5.61</v>
      </c>
      <c r="M194">
        <v>98</v>
      </c>
      <c r="N194">
        <v>6</v>
      </c>
      <c r="O194">
        <v>2</v>
      </c>
      <c r="P194">
        <v>9</v>
      </c>
      <c r="Q194">
        <v>4828</v>
      </c>
      <c r="R194" t="s">
        <v>23</v>
      </c>
      <c r="S194" t="s">
        <v>24</v>
      </c>
      <c r="T194">
        <v>1</v>
      </c>
      <c r="U194">
        <v>2161.0300000000002</v>
      </c>
    </row>
    <row r="195" spans="1:21" x14ac:dyDescent="0.35">
      <c r="A195">
        <v>8596</v>
      </c>
      <c r="B195">
        <v>62</v>
      </c>
      <c r="C195" t="s">
        <v>21</v>
      </c>
      <c r="D195">
        <v>88235</v>
      </c>
      <c r="E195" t="s">
        <v>22</v>
      </c>
      <c r="F195" t="s">
        <v>26</v>
      </c>
      <c r="G195">
        <v>3058.74</v>
      </c>
      <c r="H195">
        <v>0.01</v>
      </c>
      <c r="I195">
        <v>0.18</v>
      </c>
      <c r="J195">
        <v>26</v>
      </c>
      <c r="K195">
        <v>6.9</v>
      </c>
      <c r="L195">
        <v>4.58</v>
      </c>
      <c r="M195">
        <v>95</v>
      </c>
      <c r="N195">
        <v>2</v>
      </c>
      <c r="O195">
        <v>8</v>
      </c>
      <c r="P195">
        <v>7</v>
      </c>
      <c r="Q195">
        <v>2166</v>
      </c>
      <c r="R195" t="s">
        <v>23</v>
      </c>
      <c r="S195" t="s">
        <v>24</v>
      </c>
      <c r="T195">
        <v>1</v>
      </c>
      <c r="U195">
        <v>3058.74</v>
      </c>
    </row>
    <row r="196" spans="1:21" x14ac:dyDescent="0.35">
      <c r="A196">
        <v>8597</v>
      </c>
      <c r="B196">
        <v>28</v>
      </c>
      <c r="C196" t="s">
        <v>27</v>
      </c>
      <c r="D196">
        <v>49485</v>
      </c>
      <c r="E196" t="s">
        <v>28</v>
      </c>
      <c r="F196" t="s">
        <v>19</v>
      </c>
      <c r="G196">
        <v>5846.06</v>
      </c>
      <c r="H196">
        <v>0.04</v>
      </c>
      <c r="I196">
        <v>0.14000000000000001</v>
      </c>
      <c r="J196">
        <v>3</v>
      </c>
      <c r="K196">
        <v>4.93</v>
      </c>
      <c r="L196">
        <v>6.69</v>
      </c>
      <c r="M196">
        <v>58</v>
      </c>
      <c r="N196">
        <v>17</v>
      </c>
      <c r="O196">
        <v>1</v>
      </c>
      <c r="P196">
        <v>3</v>
      </c>
      <c r="Q196">
        <v>2855</v>
      </c>
      <c r="R196" t="s">
        <v>23</v>
      </c>
      <c r="S196" t="s">
        <v>24</v>
      </c>
      <c r="T196">
        <v>1</v>
      </c>
      <c r="U196">
        <v>5846.06</v>
      </c>
    </row>
    <row r="197" spans="1:21" x14ac:dyDescent="0.35">
      <c r="A197">
        <v>8598</v>
      </c>
      <c r="B197">
        <v>46</v>
      </c>
      <c r="C197" t="s">
        <v>27</v>
      </c>
      <c r="D197">
        <v>140605</v>
      </c>
      <c r="E197" t="s">
        <v>28</v>
      </c>
      <c r="F197" t="s">
        <v>26</v>
      </c>
      <c r="G197">
        <v>2788.07</v>
      </c>
      <c r="H197">
        <v>0.17</v>
      </c>
      <c r="I197">
        <v>0.13</v>
      </c>
      <c r="J197">
        <v>2</v>
      </c>
      <c r="K197">
        <v>6.86</v>
      </c>
      <c r="L197">
        <v>2.8</v>
      </c>
      <c r="M197">
        <v>22</v>
      </c>
      <c r="N197">
        <v>14</v>
      </c>
      <c r="O197">
        <v>8</v>
      </c>
      <c r="P197">
        <v>6</v>
      </c>
      <c r="Q197">
        <v>2077</v>
      </c>
      <c r="R197" t="s">
        <v>23</v>
      </c>
      <c r="S197" t="s">
        <v>24</v>
      </c>
      <c r="T197">
        <v>1</v>
      </c>
      <c r="U197">
        <v>2788.07</v>
      </c>
    </row>
    <row r="198" spans="1:21" x14ac:dyDescent="0.35">
      <c r="A198">
        <v>8599</v>
      </c>
      <c r="B198">
        <v>53</v>
      </c>
      <c r="C198" t="s">
        <v>21</v>
      </c>
      <c r="D198">
        <v>60285</v>
      </c>
      <c r="E198" t="s">
        <v>28</v>
      </c>
      <c r="F198" t="s">
        <v>26</v>
      </c>
      <c r="G198">
        <v>4309.16</v>
      </c>
      <c r="H198">
        <v>0.28999999999999998</v>
      </c>
      <c r="I198">
        <v>0.19</v>
      </c>
      <c r="J198">
        <v>26</v>
      </c>
      <c r="K198">
        <v>6.34</v>
      </c>
      <c r="L198">
        <v>10.17</v>
      </c>
      <c r="M198">
        <v>7</v>
      </c>
      <c r="N198">
        <v>14</v>
      </c>
      <c r="O198">
        <v>2</v>
      </c>
      <c r="P198">
        <v>9</v>
      </c>
      <c r="Q198">
        <v>612</v>
      </c>
      <c r="R198" t="s">
        <v>23</v>
      </c>
      <c r="S198" t="s">
        <v>24</v>
      </c>
      <c r="T198">
        <v>1</v>
      </c>
      <c r="U198">
        <v>4309.16</v>
      </c>
    </row>
    <row r="199" spans="1:21" x14ac:dyDescent="0.35">
      <c r="A199">
        <v>8612</v>
      </c>
      <c r="B199">
        <v>35</v>
      </c>
      <c r="C199" t="s">
        <v>27</v>
      </c>
      <c r="D199">
        <v>92265</v>
      </c>
      <c r="E199" t="s">
        <v>31</v>
      </c>
      <c r="F199" t="s">
        <v>26</v>
      </c>
      <c r="G199">
        <v>7895.05</v>
      </c>
      <c r="H199">
        <v>0.28999999999999998</v>
      </c>
      <c r="I199">
        <v>0.1</v>
      </c>
      <c r="J199">
        <v>30</v>
      </c>
      <c r="K199">
        <v>8.64</v>
      </c>
      <c r="L199">
        <v>12.84</v>
      </c>
      <c r="M199">
        <v>32</v>
      </c>
      <c r="N199">
        <v>7</v>
      </c>
      <c r="O199">
        <v>0</v>
      </c>
      <c r="P199">
        <v>1</v>
      </c>
      <c r="Q199">
        <v>3806</v>
      </c>
      <c r="R199" t="s">
        <v>23</v>
      </c>
      <c r="S199" t="s">
        <v>24</v>
      </c>
      <c r="T199">
        <v>1</v>
      </c>
      <c r="U199">
        <v>7895.05</v>
      </c>
    </row>
    <row r="200" spans="1:21" x14ac:dyDescent="0.35">
      <c r="A200">
        <v>8616</v>
      </c>
      <c r="B200">
        <v>41</v>
      </c>
      <c r="C200" t="s">
        <v>21</v>
      </c>
      <c r="D200">
        <v>80684</v>
      </c>
      <c r="E200" t="s">
        <v>22</v>
      </c>
      <c r="F200" t="s">
        <v>32</v>
      </c>
      <c r="G200">
        <v>8290.5400000000009</v>
      </c>
      <c r="H200">
        <v>0.14000000000000001</v>
      </c>
      <c r="I200">
        <v>0.02</v>
      </c>
      <c r="J200">
        <v>20</v>
      </c>
      <c r="K200">
        <v>2.17</v>
      </c>
      <c r="L200">
        <v>0.91</v>
      </c>
      <c r="M200">
        <v>98</v>
      </c>
      <c r="N200">
        <v>11</v>
      </c>
      <c r="O200">
        <v>2</v>
      </c>
      <c r="P200">
        <v>9</v>
      </c>
      <c r="Q200">
        <v>4686</v>
      </c>
      <c r="R200" t="s">
        <v>23</v>
      </c>
      <c r="S200" t="s">
        <v>24</v>
      </c>
      <c r="T200">
        <v>1</v>
      </c>
      <c r="U200">
        <v>8290.5400000000009</v>
      </c>
    </row>
    <row r="201" spans="1:21" x14ac:dyDescent="0.35">
      <c r="A201">
        <v>8617</v>
      </c>
      <c r="B201">
        <v>40</v>
      </c>
      <c r="C201" t="s">
        <v>21</v>
      </c>
      <c r="D201">
        <v>75165</v>
      </c>
      <c r="E201" t="s">
        <v>22</v>
      </c>
      <c r="F201" t="s">
        <v>30</v>
      </c>
      <c r="G201">
        <v>9064.65</v>
      </c>
      <c r="H201">
        <v>0.02</v>
      </c>
      <c r="I201">
        <v>0.16</v>
      </c>
      <c r="J201">
        <v>45</v>
      </c>
      <c r="K201">
        <v>6.45</v>
      </c>
      <c r="L201">
        <v>3.04</v>
      </c>
      <c r="M201">
        <v>27</v>
      </c>
      <c r="N201">
        <v>17</v>
      </c>
      <c r="O201">
        <v>3</v>
      </c>
      <c r="P201">
        <v>6</v>
      </c>
      <c r="Q201">
        <v>2715</v>
      </c>
      <c r="R201" t="s">
        <v>23</v>
      </c>
      <c r="S201" t="s">
        <v>24</v>
      </c>
      <c r="T201">
        <v>1</v>
      </c>
      <c r="U201">
        <v>9064.65</v>
      </c>
    </row>
    <row r="202" spans="1:21" x14ac:dyDescent="0.35">
      <c r="A202">
        <v>8619</v>
      </c>
      <c r="B202">
        <v>54</v>
      </c>
      <c r="C202" t="s">
        <v>21</v>
      </c>
      <c r="D202">
        <v>54725</v>
      </c>
      <c r="E202" t="s">
        <v>31</v>
      </c>
      <c r="F202" t="s">
        <v>30</v>
      </c>
      <c r="G202">
        <v>3206.78</v>
      </c>
      <c r="H202">
        <v>0.28000000000000003</v>
      </c>
      <c r="I202">
        <v>0.11</v>
      </c>
      <c r="J202">
        <v>0</v>
      </c>
      <c r="K202">
        <v>8.02</v>
      </c>
      <c r="L202">
        <v>14.96</v>
      </c>
      <c r="M202">
        <v>74</v>
      </c>
      <c r="N202">
        <v>15</v>
      </c>
      <c r="O202">
        <v>2</v>
      </c>
      <c r="P202">
        <v>2</v>
      </c>
      <c r="Q202">
        <v>3923</v>
      </c>
      <c r="R202" t="s">
        <v>23</v>
      </c>
      <c r="S202" t="s">
        <v>24</v>
      </c>
      <c r="T202">
        <v>1</v>
      </c>
      <c r="U202">
        <v>3206.78</v>
      </c>
    </row>
    <row r="203" spans="1:21" x14ac:dyDescent="0.35">
      <c r="A203">
        <v>8623</v>
      </c>
      <c r="B203">
        <v>40</v>
      </c>
      <c r="C203" t="s">
        <v>27</v>
      </c>
      <c r="D203">
        <v>104600</v>
      </c>
      <c r="E203" t="s">
        <v>22</v>
      </c>
      <c r="F203" t="s">
        <v>19</v>
      </c>
      <c r="G203">
        <v>7939.09</v>
      </c>
      <c r="H203">
        <v>0.23</v>
      </c>
      <c r="I203">
        <v>0.09</v>
      </c>
      <c r="J203">
        <v>35</v>
      </c>
      <c r="K203">
        <v>5.96</v>
      </c>
      <c r="L203">
        <v>13.76</v>
      </c>
      <c r="M203">
        <v>22</v>
      </c>
      <c r="N203">
        <v>5</v>
      </c>
      <c r="O203">
        <v>0</v>
      </c>
      <c r="P203">
        <v>6</v>
      </c>
      <c r="Q203">
        <v>333</v>
      </c>
      <c r="R203" t="s">
        <v>23</v>
      </c>
      <c r="S203" t="s">
        <v>24</v>
      </c>
      <c r="T203">
        <v>1</v>
      </c>
      <c r="U203">
        <v>7939.09</v>
      </c>
    </row>
    <row r="204" spans="1:21" x14ac:dyDescent="0.35">
      <c r="A204">
        <v>8627</v>
      </c>
      <c r="B204">
        <v>47</v>
      </c>
      <c r="C204" t="s">
        <v>21</v>
      </c>
      <c r="D204">
        <v>40115</v>
      </c>
      <c r="E204" t="s">
        <v>25</v>
      </c>
      <c r="F204" t="s">
        <v>19</v>
      </c>
      <c r="G204">
        <v>5705.5</v>
      </c>
      <c r="H204">
        <v>0.19</v>
      </c>
      <c r="I204">
        <v>7.0000000000000007E-2</v>
      </c>
      <c r="J204">
        <v>40</v>
      </c>
      <c r="K204">
        <v>6.08</v>
      </c>
      <c r="L204">
        <v>11.52</v>
      </c>
      <c r="M204">
        <v>40</v>
      </c>
      <c r="N204">
        <v>7</v>
      </c>
      <c r="O204">
        <v>6</v>
      </c>
      <c r="P204">
        <v>8</v>
      </c>
      <c r="Q204">
        <v>3624</v>
      </c>
      <c r="R204" t="s">
        <v>23</v>
      </c>
      <c r="S204" t="s">
        <v>24</v>
      </c>
      <c r="T204">
        <v>1</v>
      </c>
      <c r="U204">
        <v>5705.5</v>
      </c>
    </row>
    <row r="205" spans="1:21" x14ac:dyDescent="0.35">
      <c r="A205">
        <v>8631</v>
      </c>
      <c r="B205">
        <v>65</v>
      </c>
      <c r="C205" t="s">
        <v>27</v>
      </c>
      <c r="D205">
        <v>106151</v>
      </c>
      <c r="E205" t="s">
        <v>28</v>
      </c>
      <c r="F205" t="s">
        <v>32</v>
      </c>
      <c r="G205">
        <v>3182.09</v>
      </c>
      <c r="H205">
        <v>0.27</v>
      </c>
      <c r="I205">
        <v>0.1</v>
      </c>
      <c r="J205">
        <v>11</v>
      </c>
      <c r="K205">
        <v>3.15</v>
      </c>
      <c r="L205">
        <v>4.7</v>
      </c>
      <c r="M205">
        <v>0</v>
      </c>
      <c r="N205">
        <v>10</v>
      </c>
      <c r="O205">
        <v>1</v>
      </c>
      <c r="P205">
        <v>5</v>
      </c>
      <c r="Q205">
        <v>4046</v>
      </c>
      <c r="R205" t="s">
        <v>23</v>
      </c>
      <c r="S205" t="s">
        <v>24</v>
      </c>
      <c r="T205">
        <v>1</v>
      </c>
      <c r="U205">
        <v>3182.09</v>
      </c>
    </row>
    <row r="206" spans="1:21" x14ac:dyDescent="0.35">
      <c r="A206">
        <v>8638</v>
      </c>
      <c r="B206">
        <v>29</v>
      </c>
      <c r="C206" t="s">
        <v>21</v>
      </c>
      <c r="D206">
        <v>20981</v>
      </c>
      <c r="E206" t="s">
        <v>31</v>
      </c>
      <c r="F206" t="s">
        <v>32</v>
      </c>
      <c r="G206">
        <v>2900.43</v>
      </c>
      <c r="H206">
        <v>0.22</v>
      </c>
      <c r="I206">
        <v>0.02</v>
      </c>
      <c r="J206">
        <v>32</v>
      </c>
      <c r="K206">
        <v>3.99</v>
      </c>
      <c r="L206">
        <v>3.19</v>
      </c>
      <c r="M206">
        <v>42</v>
      </c>
      <c r="N206">
        <v>1</v>
      </c>
      <c r="O206">
        <v>3</v>
      </c>
      <c r="P206">
        <v>1</v>
      </c>
      <c r="Q206">
        <v>4640</v>
      </c>
      <c r="R206" t="s">
        <v>23</v>
      </c>
      <c r="S206" t="s">
        <v>24</v>
      </c>
      <c r="T206">
        <v>0</v>
      </c>
    </row>
    <row r="207" spans="1:21" x14ac:dyDescent="0.35">
      <c r="A207">
        <v>8643</v>
      </c>
      <c r="B207">
        <v>24</v>
      </c>
      <c r="C207" t="s">
        <v>21</v>
      </c>
      <c r="D207">
        <v>101666</v>
      </c>
      <c r="E207" t="s">
        <v>31</v>
      </c>
      <c r="F207" t="s">
        <v>30</v>
      </c>
      <c r="G207">
        <v>6576.04</v>
      </c>
      <c r="H207">
        <v>0.01</v>
      </c>
      <c r="I207">
        <v>0.15</v>
      </c>
      <c r="J207">
        <v>29</v>
      </c>
      <c r="K207">
        <v>1.9</v>
      </c>
      <c r="L207">
        <v>4.18</v>
      </c>
      <c r="M207">
        <v>25</v>
      </c>
      <c r="N207">
        <v>17</v>
      </c>
      <c r="O207">
        <v>7</v>
      </c>
      <c r="P207">
        <v>6</v>
      </c>
      <c r="Q207">
        <v>4550</v>
      </c>
      <c r="R207" t="s">
        <v>23</v>
      </c>
      <c r="S207" t="s">
        <v>24</v>
      </c>
      <c r="T207">
        <v>1</v>
      </c>
      <c r="U207">
        <v>6576.04</v>
      </c>
    </row>
    <row r="208" spans="1:21" x14ac:dyDescent="0.35">
      <c r="A208">
        <v>8644</v>
      </c>
      <c r="B208">
        <v>45</v>
      </c>
      <c r="C208" t="s">
        <v>21</v>
      </c>
      <c r="D208">
        <v>104351</v>
      </c>
      <c r="E208" t="s">
        <v>29</v>
      </c>
      <c r="F208" t="s">
        <v>32</v>
      </c>
      <c r="G208">
        <v>7022.07</v>
      </c>
      <c r="H208">
        <v>0.1</v>
      </c>
      <c r="I208">
        <v>0.17</v>
      </c>
      <c r="J208">
        <v>27</v>
      </c>
      <c r="K208">
        <v>4.2300000000000004</v>
      </c>
      <c r="L208">
        <v>3.23</v>
      </c>
      <c r="M208">
        <v>17</v>
      </c>
      <c r="N208">
        <v>16</v>
      </c>
      <c r="O208">
        <v>5</v>
      </c>
      <c r="P208">
        <v>8</v>
      </c>
      <c r="Q208">
        <v>4369</v>
      </c>
      <c r="R208" t="s">
        <v>23</v>
      </c>
      <c r="S208" t="s">
        <v>24</v>
      </c>
      <c r="T208">
        <v>1</v>
      </c>
      <c r="U208">
        <v>7022.07</v>
      </c>
    </row>
    <row r="209" spans="1:21" x14ac:dyDescent="0.35">
      <c r="A209">
        <v>8646</v>
      </c>
      <c r="B209">
        <v>48</v>
      </c>
      <c r="C209" t="s">
        <v>21</v>
      </c>
      <c r="D209">
        <v>111865</v>
      </c>
      <c r="E209" t="s">
        <v>31</v>
      </c>
      <c r="F209" t="s">
        <v>26</v>
      </c>
      <c r="G209">
        <v>4801.7</v>
      </c>
      <c r="H209">
        <v>0.17</v>
      </c>
      <c r="I209">
        <v>7.0000000000000007E-2</v>
      </c>
      <c r="J209">
        <v>11</v>
      </c>
      <c r="K209">
        <v>7.97</v>
      </c>
      <c r="L209">
        <v>8.49</v>
      </c>
      <c r="M209">
        <v>74</v>
      </c>
      <c r="N209">
        <v>5</v>
      </c>
      <c r="O209">
        <v>3</v>
      </c>
      <c r="P209">
        <v>9</v>
      </c>
      <c r="Q209">
        <v>3708</v>
      </c>
      <c r="R209" t="s">
        <v>23</v>
      </c>
      <c r="S209" t="s">
        <v>24</v>
      </c>
      <c r="T209">
        <v>1</v>
      </c>
      <c r="U209">
        <v>4801.7</v>
      </c>
    </row>
    <row r="210" spans="1:21" x14ac:dyDescent="0.35">
      <c r="A210">
        <v>8647</v>
      </c>
      <c r="B210">
        <v>69</v>
      </c>
      <c r="C210" t="s">
        <v>27</v>
      </c>
      <c r="D210">
        <v>91885</v>
      </c>
      <c r="E210" t="s">
        <v>28</v>
      </c>
      <c r="F210" t="s">
        <v>26</v>
      </c>
      <c r="G210">
        <v>4097.29</v>
      </c>
      <c r="H210">
        <v>0.24</v>
      </c>
      <c r="I210">
        <v>7.0000000000000007E-2</v>
      </c>
      <c r="J210">
        <v>43</v>
      </c>
      <c r="K210">
        <v>8.41</v>
      </c>
      <c r="L210">
        <v>13.25</v>
      </c>
      <c r="M210">
        <v>65</v>
      </c>
      <c r="N210">
        <v>17</v>
      </c>
      <c r="O210">
        <v>6</v>
      </c>
      <c r="P210">
        <v>5</v>
      </c>
      <c r="Q210">
        <v>3870</v>
      </c>
      <c r="R210" t="s">
        <v>23</v>
      </c>
      <c r="S210" t="s">
        <v>24</v>
      </c>
      <c r="T210">
        <v>1</v>
      </c>
      <c r="U210">
        <v>4097.29</v>
      </c>
    </row>
    <row r="211" spans="1:21" x14ac:dyDescent="0.35">
      <c r="A211">
        <v>8653</v>
      </c>
      <c r="B211">
        <v>29</v>
      </c>
      <c r="C211" t="s">
        <v>27</v>
      </c>
      <c r="D211">
        <v>107350</v>
      </c>
      <c r="E211" t="s">
        <v>28</v>
      </c>
      <c r="F211" t="s">
        <v>26</v>
      </c>
      <c r="G211">
        <v>7003.89</v>
      </c>
      <c r="H211">
        <v>0.12</v>
      </c>
      <c r="I211">
        <v>7.0000000000000007E-2</v>
      </c>
      <c r="J211">
        <v>13</v>
      </c>
      <c r="K211">
        <v>6.83</v>
      </c>
      <c r="L211">
        <v>1.1399999999999999</v>
      </c>
      <c r="M211">
        <v>14</v>
      </c>
      <c r="N211">
        <v>2</v>
      </c>
      <c r="O211">
        <v>2</v>
      </c>
      <c r="P211">
        <v>1</v>
      </c>
      <c r="Q211">
        <v>2195</v>
      </c>
      <c r="R211" t="s">
        <v>23</v>
      </c>
      <c r="S211" t="s">
        <v>24</v>
      </c>
      <c r="T211">
        <v>1</v>
      </c>
      <c r="U211">
        <v>7003.89</v>
      </c>
    </row>
    <row r="212" spans="1:21" x14ac:dyDescent="0.35">
      <c r="A212">
        <v>8657</v>
      </c>
      <c r="B212">
        <v>53</v>
      </c>
      <c r="C212" t="s">
        <v>21</v>
      </c>
      <c r="D212">
        <v>107081</v>
      </c>
      <c r="E212" t="s">
        <v>28</v>
      </c>
      <c r="F212" t="s">
        <v>32</v>
      </c>
      <c r="G212">
        <v>4606.12</v>
      </c>
      <c r="H212">
        <v>0.28999999999999998</v>
      </c>
      <c r="I212">
        <v>0.01</v>
      </c>
      <c r="J212">
        <v>7</v>
      </c>
      <c r="K212">
        <v>8.2100000000000009</v>
      </c>
      <c r="L212">
        <v>14.03</v>
      </c>
      <c r="M212">
        <v>26</v>
      </c>
      <c r="N212">
        <v>12</v>
      </c>
      <c r="O212">
        <v>6</v>
      </c>
      <c r="P212">
        <v>2</v>
      </c>
      <c r="Q212">
        <v>2964</v>
      </c>
      <c r="R212" t="s">
        <v>23</v>
      </c>
      <c r="S212" t="s">
        <v>24</v>
      </c>
      <c r="T212">
        <v>1</v>
      </c>
      <c r="U212">
        <v>4606.12</v>
      </c>
    </row>
    <row r="213" spans="1:21" x14ac:dyDescent="0.35">
      <c r="A213">
        <v>8662</v>
      </c>
      <c r="B213">
        <v>59</v>
      </c>
      <c r="C213" t="s">
        <v>21</v>
      </c>
      <c r="D213">
        <v>54103</v>
      </c>
      <c r="E213" t="s">
        <v>22</v>
      </c>
      <c r="F213" t="s">
        <v>19</v>
      </c>
      <c r="G213">
        <v>9004.83</v>
      </c>
      <c r="H213">
        <v>0.1</v>
      </c>
      <c r="I213">
        <v>0.18</v>
      </c>
      <c r="J213">
        <v>40</v>
      </c>
      <c r="K213">
        <v>4.92</v>
      </c>
      <c r="L213">
        <v>6.16</v>
      </c>
      <c r="M213">
        <v>49</v>
      </c>
      <c r="N213">
        <v>1</v>
      </c>
      <c r="O213">
        <v>1</v>
      </c>
      <c r="P213">
        <v>2</v>
      </c>
      <c r="Q213">
        <v>3426</v>
      </c>
      <c r="R213" t="s">
        <v>23</v>
      </c>
      <c r="S213" t="s">
        <v>24</v>
      </c>
      <c r="T213">
        <v>1</v>
      </c>
      <c r="U213">
        <v>9004.83</v>
      </c>
    </row>
    <row r="214" spans="1:21" x14ac:dyDescent="0.35">
      <c r="A214">
        <v>8664</v>
      </c>
      <c r="B214">
        <v>31</v>
      </c>
      <c r="C214" t="s">
        <v>27</v>
      </c>
      <c r="D214">
        <v>114805</v>
      </c>
      <c r="E214" t="s">
        <v>29</v>
      </c>
      <c r="F214" t="s">
        <v>32</v>
      </c>
      <c r="G214">
        <v>4857.08</v>
      </c>
      <c r="H214">
        <v>0.06</v>
      </c>
      <c r="I214">
        <v>0.2</v>
      </c>
      <c r="J214">
        <v>7</v>
      </c>
      <c r="K214">
        <v>3.25</v>
      </c>
      <c r="L214">
        <v>2.5099999999999998</v>
      </c>
      <c r="M214">
        <v>23</v>
      </c>
      <c r="N214">
        <v>14</v>
      </c>
      <c r="O214">
        <v>4</v>
      </c>
      <c r="P214">
        <v>8</v>
      </c>
      <c r="Q214">
        <v>1878</v>
      </c>
      <c r="R214" t="s">
        <v>23</v>
      </c>
      <c r="S214" t="s">
        <v>24</v>
      </c>
      <c r="T214">
        <v>1</v>
      </c>
      <c r="U214">
        <v>4857.08</v>
      </c>
    </row>
    <row r="215" spans="1:21" x14ac:dyDescent="0.35">
      <c r="A215">
        <v>8665</v>
      </c>
      <c r="B215">
        <v>48</v>
      </c>
      <c r="C215" t="s">
        <v>21</v>
      </c>
      <c r="D215">
        <v>69264</v>
      </c>
      <c r="E215" t="s">
        <v>25</v>
      </c>
      <c r="F215" t="s">
        <v>32</v>
      </c>
      <c r="G215">
        <v>9054.59</v>
      </c>
      <c r="H215">
        <v>0.26</v>
      </c>
      <c r="I215">
        <v>0.11</v>
      </c>
      <c r="J215">
        <v>25</v>
      </c>
      <c r="K215">
        <v>9.3800000000000008</v>
      </c>
      <c r="L215">
        <v>9.94</v>
      </c>
      <c r="M215">
        <v>33</v>
      </c>
      <c r="N215">
        <v>3</v>
      </c>
      <c r="O215">
        <v>7</v>
      </c>
      <c r="P215">
        <v>3</v>
      </c>
      <c r="Q215">
        <v>955</v>
      </c>
      <c r="R215" t="s">
        <v>23</v>
      </c>
      <c r="S215" t="s">
        <v>24</v>
      </c>
      <c r="T215">
        <v>1</v>
      </c>
      <c r="U215">
        <v>9054.59</v>
      </c>
    </row>
    <row r="216" spans="1:21" x14ac:dyDescent="0.35">
      <c r="A216">
        <v>8666</v>
      </c>
      <c r="B216">
        <v>22</v>
      </c>
      <c r="C216" t="s">
        <v>21</v>
      </c>
      <c r="D216">
        <v>40156</v>
      </c>
      <c r="E216" t="s">
        <v>31</v>
      </c>
      <c r="F216" t="s">
        <v>26</v>
      </c>
      <c r="G216">
        <v>8042.21</v>
      </c>
      <c r="H216">
        <v>0.13</v>
      </c>
      <c r="I216">
        <v>0.19</v>
      </c>
      <c r="J216">
        <v>4</v>
      </c>
      <c r="K216">
        <v>5.54</v>
      </c>
      <c r="L216">
        <v>14.32</v>
      </c>
      <c r="M216">
        <v>90</v>
      </c>
      <c r="N216">
        <v>10</v>
      </c>
      <c r="O216">
        <v>4</v>
      </c>
      <c r="P216">
        <v>4</v>
      </c>
      <c r="Q216">
        <v>1226</v>
      </c>
      <c r="R216" t="s">
        <v>23</v>
      </c>
      <c r="S216" t="s">
        <v>24</v>
      </c>
      <c r="T216">
        <v>1</v>
      </c>
      <c r="U216">
        <v>8042.21</v>
      </c>
    </row>
    <row r="217" spans="1:21" x14ac:dyDescent="0.35">
      <c r="A217">
        <v>8667</v>
      </c>
      <c r="B217">
        <v>52</v>
      </c>
      <c r="C217" t="s">
        <v>27</v>
      </c>
      <c r="D217">
        <v>33423</v>
      </c>
      <c r="E217" t="s">
        <v>22</v>
      </c>
      <c r="F217" t="s">
        <v>32</v>
      </c>
      <c r="G217">
        <v>2509.9699999999998</v>
      </c>
      <c r="H217">
        <v>0.28999999999999998</v>
      </c>
      <c r="I217">
        <v>0.05</v>
      </c>
      <c r="J217">
        <v>8</v>
      </c>
      <c r="K217">
        <v>1.66</v>
      </c>
      <c r="L217">
        <v>13.7</v>
      </c>
      <c r="M217">
        <v>19</v>
      </c>
      <c r="N217">
        <v>6</v>
      </c>
      <c r="O217">
        <v>1</v>
      </c>
      <c r="P217">
        <v>3</v>
      </c>
      <c r="Q217">
        <v>1675</v>
      </c>
      <c r="R217" t="s">
        <v>23</v>
      </c>
      <c r="S217" t="s">
        <v>24</v>
      </c>
      <c r="T217">
        <v>0</v>
      </c>
    </row>
    <row r="218" spans="1:21" x14ac:dyDescent="0.35">
      <c r="A218">
        <v>8674</v>
      </c>
      <c r="B218">
        <v>29</v>
      </c>
      <c r="C218" t="s">
        <v>27</v>
      </c>
      <c r="D218">
        <v>103905</v>
      </c>
      <c r="E218" t="s">
        <v>25</v>
      </c>
      <c r="F218" t="s">
        <v>32</v>
      </c>
      <c r="G218">
        <v>200.72</v>
      </c>
      <c r="H218">
        <v>0.28000000000000003</v>
      </c>
      <c r="I218">
        <v>0.08</v>
      </c>
      <c r="J218">
        <v>30</v>
      </c>
      <c r="K218">
        <v>4.8899999999999997</v>
      </c>
      <c r="L218">
        <v>6.49</v>
      </c>
      <c r="M218">
        <v>49</v>
      </c>
      <c r="N218">
        <v>1</v>
      </c>
      <c r="O218">
        <v>7</v>
      </c>
      <c r="P218">
        <v>7</v>
      </c>
      <c r="Q218">
        <v>1322</v>
      </c>
      <c r="R218" t="s">
        <v>23</v>
      </c>
      <c r="S218" t="s">
        <v>24</v>
      </c>
      <c r="T218">
        <v>1</v>
      </c>
      <c r="U218">
        <v>200.72</v>
      </c>
    </row>
    <row r="219" spans="1:21" x14ac:dyDescent="0.35">
      <c r="A219">
        <v>8675</v>
      </c>
      <c r="B219">
        <v>26</v>
      </c>
      <c r="C219" t="s">
        <v>21</v>
      </c>
      <c r="D219">
        <v>47868</v>
      </c>
      <c r="E219" t="s">
        <v>25</v>
      </c>
      <c r="F219" t="s">
        <v>30</v>
      </c>
      <c r="G219">
        <v>7005.13</v>
      </c>
      <c r="H219">
        <v>0.08</v>
      </c>
      <c r="I219">
        <v>0.03</v>
      </c>
      <c r="J219">
        <v>0</v>
      </c>
      <c r="K219">
        <v>8.93</v>
      </c>
      <c r="L219">
        <v>6.35</v>
      </c>
      <c r="M219">
        <v>54</v>
      </c>
      <c r="N219">
        <v>6</v>
      </c>
      <c r="O219">
        <v>0</v>
      </c>
      <c r="P219">
        <v>2</v>
      </c>
      <c r="Q219">
        <v>1226</v>
      </c>
      <c r="R219" t="s">
        <v>23</v>
      </c>
      <c r="S219" t="s">
        <v>24</v>
      </c>
      <c r="T219">
        <v>1</v>
      </c>
      <c r="U219">
        <v>7005.13</v>
      </c>
    </row>
    <row r="220" spans="1:21" x14ac:dyDescent="0.35">
      <c r="A220">
        <v>8678</v>
      </c>
      <c r="B220">
        <v>34</v>
      </c>
      <c r="C220" t="s">
        <v>27</v>
      </c>
      <c r="D220">
        <v>139779</v>
      </c>
      <c r="E220" t="s">
        <v>25</v>
      </c>
      <c r="F220" t="s">
        <v>30</v>
      </c>
      <c r="G220">
        <v>6106.27</v>
      </c>
      <c r="H220">
        <v>0.1</v>
      </c>
      <c r="I220">
        <v>0.08</v>
      </c>
      <c r="J220">
        <v>46</v>
      </c>
      <c r="K220">
        <v>9.6999999999999993</v>
      </c>
      <c r="L220">
        <v>5.14</v>
      </c>
      <c r="M220">
        <v>96</v>
      </c>
      <c r="N220">
        <v>17</v>
      </c>
      <c r="O220">
        <v>7</v>
      </c>
      <c r="P220">
        <v>1</v>
      </c>
      <c r="Q220">
        <v>2719</v>
      </c>
      <c r="R220" t="s">
        <v>23</v>
      </c>
      <c r="S220" t="s">
        <v>24</v>
      </c>
      <c r="T220">
        <v>1</v>
      </c>
      <c r="U220">
        <v>6106.27</v>
      </c>
    </row>
    <row r="221" spans="1:21" x14ac:dyDescent="0.35">
      <c r="A221">
        <v>8679</v>
      </c>
      <c r="B221">
        <v>55</v>
      </c>
      <c r="C221" t="s">
        <v>21</v>
      </c>
      <c r="D221">
        <v>100084</v>
      </c>
      <c r="E221" t="s">
        <v>31</v>
      </c>
      <c r="F221" t="s">
        <v>26</v>
      </c>
      <c r="G221">
        <v>4860.24</v>
      </c>
      <c r="H221">
        <v>0.09</v>
      </c>
      <c r="I221">
        <v>0.17</v>
      </c>
      <c r="J221">
        <v>30</v>
      </c>
      <c r="K221">
        <v>8.4700000000000006</v>
      </c>
      <c r="L221">
        <v>14.91</v>
      </c>
      <c r="M221">
        <v>9</v>
      </c>
      <c r="N221">
        <v>14</v>
      </c>
      <c r="O221">
        <v>9</v>
      </c>
      <c r="P221">
        <v>5</v>
      </c>
      <c r="Q221">
        <v>2703</v>
      </c>
      <c r="R221" t="s">
        <v>23</v>
      </c>
      <c r="S221" t="s">
        <v>24</v>
      </c>
      <c r="T221">
        <v>1</v>
      </c>
      <c r="U221">
        <v>4860.24</v>
      </c>
    </row>
    <row r="222" spans="1:21" x14ac:dyDescent="0.35">
      <c r="A222">
        <v>8682</v>
      </c>
      <c r="B222">
        <v>30</v>
      </c>
      <c r="C222" t="s">
        <v>21</v>
      </c>
      <c r="D222">
        <v>117919</v>
      </c>
      <c r="E222" t="s">
        <v>29</v>
      </c>
      <c r="F222" t="s">
        <v>32</v>
      </c>
      <c r="G222">
        <v>7150.11</v>
      </c>
      <c r="H222">
        <v>0.16</v>
      </c>
      <c r="I222">
        <v>0.06</v>
      </c>
      <c r="J222">
        <v>10</v>
      </c>
      <c r="K222">
        <v>2.02</v>
      </c>
      <c r="L222">
        <v>11.12</v>
      </c>
      <c r="M222">
        <v>10</v>
      </c>
      <c r="N222">
        <v>16</v>
      </c>
      <c r="O222">
        <v>4</v>
      </c>
      <c r="P222">
        <v>8</v>
      </c>
      <c r="Q222">
        <v>2229</v>
      </c>
      <c r="R222" t="s">
        <v>23</v>
      </c>
      <c r="S222" t="s">
        <v>24</v>
      </c>
      <c r="T222">
        <v>1</v>
      </c>
      <c r="U222">
        <v>7150.11</v>
      </c>
    </row>
    <row r="223" spans="1:21" x14ac:dyDescent="0.35">
      <c r="A223">
        <v>8686</v>
      </c>
      <c r="B223">
        <v>67</v>
      </c>
      <c r="C223" t="s">
        <v>27</v>
      </c>
      <c r="D223">
        <v>115747</v>
      </c>
      <c r="E223" t="s">
        <v>29</v>
      </c>
      <c r="F223" t="s">
        <v>30</v>
      </c>
      <c r="G223">
        <v>201.36</v>
      </c>
      <c r="H223">
        <v>0.16</v>
      </c>
      <c r="I223">
        <v>0.19</v>
      </c>
      <c r="J223">
        <v>29</v>
      </c>
      <c r="K223">
        <v>7.65</v>
      </c>
      <c r="L223">
        <v>7.64</v>
      </c>
      <c r="M223">
        <v>19</v>
      </c>
      <c r="N223">
        <v>4</v>
      </c>
      <c r="O223">
        <v>8</v>
      </c>
      <c r="P223">
        <v>8</v>
      </c>
      <c r="Q223">
        <v>942</v>
      </c>
      <c r="R223" t="s">
        <v>23</v>
      </c>
      <c r="S223" t="s">
        <v>24</v>
      </c>
      <c r="T223">
        <v>1</v>
      </c>
      <c r="U223">
        <v>201.36</v>
      </c>
    </row>
    <row r="224" spans="1:21" x14ac:dyDescent="0.35">
      <c r="A224">
        <v>8688</v>
      </c>
      <c r="B224">
        <v>19</v>
      </c>
      <c r="C224" t="s">
        <v>21</v>
      </c>
      <c r="D224">
        <v>23389</v>
      </c>
      <c r="E224" t="s">
        <v>28</v>
      </c>
      <c r="F224" t="s">
        <v>26</v>
      </c>
      <c r="G224">
        <v>1972.01</v>
      </c>
      <c r="H224">
        <v>0.02</v>
      </c>
      <c r="I224">
        <v>0.03</v>
      </c>
      <c r="J224">
        <v>46</v>
      </c>
      <c r="K224">
        <v>1.41</v>
      </c>
      <c r="L224">
        <v>4.57</v>
      </c>
      <c r="M224">
        <v>78</v>
      </c>
      <c r="N224">
        <v>11</v>
      </c>
      <c r="O224">
        <v>2</v>
      </c>
      <c r="P224">
        <v>3</v>
      </c>
      <c r="Q224">
        <v>3194</v>
      </c>
      <c r="R224" t="s">
        <v>23</v>
      </c>
      <c r="S224" t="s">
        <v>24</v>
      </c>
      <c r="T224">
        <v>0</v>
      </c>
    </row>
    <row r="225" spans="1:21" x14ac:dyDescent="0.35">
      <c r="A225">
        <v>8697</v>
      </c>
      <c r="B225">
        <v>18</v>
      </c>
      <c r="C225" t="s">
        <v>21</v>
      </c>
      <c r="D225">
        <v>71857</v>
      </c>
      <c r="E225" t="s">
        <v>29</v>
      </c>
      <c r="F225" t="s">
        <v>26</v>
      </c>
      <c r="G225">
        <v>6069.91</v>
      </c>
      <c r="H225">
        <v>0.22</v>
      </c>
      <c r="I225">
        <v>0.14000000000000001</v>
      </c>
      <c r="J225">
        <v>43</v>
      </c>
      <c r="K225">
        <v>4.3899999999999997</v>
      </c>
      <c r="L225">
        <v>13.37</v>
      </c>
      <c r="M225">
        <v>30</v>
      </c>
      <c r="N225">
        <v>4</v>
      </c>
      <c r="O225">
        <v>1</v>
      </c>
      <c r="P225">
        <v>1</v>
      </c>
      <c r="Q225">
        <v>4383</v>
      </c>
      <c r="R225" t="s">
        <v>23</v>
      </c>
      <c r="S225" t="s">
        <v>24</v>
      </c>
      <c r="T225">
        <v>1</v>
      </c>
      <c r="U225">
        <v>6069.91</v>
      </c>
    </row>
    <row r="226" spans="1:21" x14ac:dyDescent="0.35">
      <c r="A226">
        <v>8698</v>
      </c>
      <c r="B226">
        <v>39</v>
      </c>
      <c r="C226" t="s">
        <v>21</v>
      </c>
      <c r="D226">
        <v>84367</v>
      </c>
      <c r="E226" t="s">
        <v>28</v>
      </c>
      <c r="F226" t="s">
        <v>19</v>
      </c>
      <c r="G226">
        <v>8266.06</v>
      </c>
      <c r="H226">
        <v>0.13</v>
      </c>
      <c r="I226">
        <v>0.08</v>
      </c>
      <c r="J226">
        <v>25</v>
      </c>
      <c r="K226">
        <v>2.69</v>
      </c>
      <c r="L226">
        <v>12.55</v>
      </c>
      <c r="M226">
        <v>50</v>
      </c>
      <c r="N226">
        <v>18</v>
      </c>
      <c r="O226">
        <v>0</v>
      </c>
      <c r="P226">
        <v>5</v>
      </c>
      <c r="Q226">
        <v>614</v>
      </c>
      <c r="R226" t="s">
        <v>23</v>
      </c>
      <c r="S226" t="s">
        <v>24</v>
      </c>
      <c r="T226">
        <v>1</v>
      </c>
      <c r="U226">
        <v>8266.06</v>
      </c>
    </row>
    <row r="227" spans="1:21" x14ac:dyDescent="0.35">
      <c r="A227">
        <v>8699</v>
      </c>
      <c r="B227">
        <v>69</v>
      </c>
      <c r="C227" t="s">
        <v>21</v>
      </c>
      <c r="D227">
        <v>56527</v>
      </c>
      <c r="E227" t="s">
        <v>31</v>
      </c>
      <c r="F227" t="s">
        <v>19</v>
      </c>
      <c r="G227">
        <v>1032.82</v>
      </c>
      <c r="H227">
        <v>0.17</v>
      </c>
      <c r="I227">
        <v>0.04</v>
      </c>
      <c r="J227">
        <v>41</v>
      </c>
      <c r="K227">
        <v>7.03</v>
      </c>
      <c r="L227">
        <v>5.83</v>
      </c>
      <c r="M227">
        <v>82</v>
      </c>
      <c r="N227">
        <v>10</v>
      </c>
      <c r="O227">
        <v>9</v>
      </c>
      <c r="P227">
        <v>9</v>
      </c>
      <c r="Q227">
        <v>921</v>
      </c>
      <c r="R227" t="s">
        <v>23</v>
      </c>
      <c r="S227" t="s">
        <v>24</v>
      </c>
      <c r="T227">
        <v>1</v>
      </c>
      <c r="U227">
        <v>1032.82</v>
      </c>
    </row>
    <row r="228" spans="1:21" x14ac:dyDescent="0.35">
      <c r="A228">
        <v>8703</v>
      </c>
      <c r="B228">
        <v>62</v>
      </c>
      <c r="C228" t="s">
        <v>27</v>
      </c>
      <c r="D228">
        <v>131562</v>
      </c>
      <c r="E228" t="s">
        <v>28</v>
      </c>
      <c r="F228" t="s">
        <v>26</v>
      </c>
      <c r="G228">
        <v>5501.98</v>
      </c>
      <c r="H228">
        <v>0.24</v>
      </c>
      <c r="I228">
        <v>0.13</v>
      </c>
      <c r="J228">
        <v>45</v>
      </c>
      <c r="K228">
        <v>4.71</v>
      </c>
      <c r="L228">
        <v>7.67</v>
      </c>
      <c r="M228">
        <v>76</v>
      </c>
      <c r="N228">
        <v>14</v>
      </c>
      <c r="O228">
        <v>3</v>
      </c>
      <c r="P228">
        <v>1</v>
      </c>
      <c r="Q228">
        <v>1114</v>
      </c>
      <c r="R228" t="s">
        <v>23</v>
      </c>
      <c r="S228" t="s">
        <v>24</v>
      </c>
      <c r="T228">
        <v>1</v>
      </c>
      <c r="U228">
        <v>5501.98</v>
      </c>
    </row>
    <row r="229" spans="1:21" x14ac:dyDescent="0.35">
      <c r="A229">
        <v>8704</v>
      </c>
      <c r="B229">
        <v>21</v>
      </c>
      <c r="C229" t="s">
        <v>21</v>
      </c>
      <c r="D229">
        <v>21112</v>
      </c>
      <c r="E229" t="s">
        <v>28</v>
      </c>
      <c r="F229" t="s">
        <v>19</v>
      </c>
      <c r="G229">
        <v>2340</v>
      </c>
      <c r="H229">
        <v>0.04</v>
      </c>
      <c r="I229">
        <v>0.15</v>
      </c>
      <c r="J229">
        <v>34</v>
      </c>
      <c r="K229">
        <v>9.75</v>
      </c>
      <c r="L229">
        <v>9.01</v>
      </c>
      <c r="M229">
        <v>37</v>
      </c>
      <c r="N229">
        <v>3</v>
      </c>
      <c r="O229">
        <v>1</v>
      </c>
      <c r="P229">
        <v>1</v>
      </c>
      <c r="Q229">
        <v>3444</v>
      </c>
      <c r="R229" t="s">
        <v>23</v>
      </c>
      <c r="S229" t="s">
        <v>24</v>
      </c>
      <c r="T229">
        <v>1</v>
      </c>
      <c r="U229">
        <v>2340</v>
      </c>
    </row>
    <row r="230" spans="1:21" x14ac:dyDescent="0.35">
      <c r="A230">
        <v>8707</v>
      </c>
      <c r="B230">
        <v>48</v>
      </c>
      <c r="C230" t="s">
        <v>27</v>
      </c>
      <c r="D230">
        <v>109017</v>
      </c>
      <c r="E230" t="s">
        <v>29</v>
      </c>
      <c r="F230" t="s">
        <v>30</v>
      </c>
      <c r="G230">
        <v>1076.6600000000001</v>
      </c>
      <c r="H230">
        <v>0.11</v>
      </c>
      <c r="I230">
        <v>0.01</v>
      </c>
      <c r="J230">
        <v>6</v>
      </c>
      <c r="K230">
        <v>5.76</v>
      </c>
      <c r="L230">
        <v>8.3699999999999992</v>
      </c>
      <c r="M230">
        <v>10</v>
      </c>
      <c r="N230">
        <v>1</v>
      </c>
      <c r="O230">
        <v>5</v>
      </c>
      <c r="P230">
        <v>9</v>
      </c>
      <c r="Q230">
        <v>846</v>
      </c>
      <c r="R230" t="s">
        <v>23</v>
      </c>
      <c r="S230" t="s">
        <v>24</v>
      </c>
      <c r="T230">
        <v>0</v>
      </c>
    </row>
    <row r="231" spans="1:21" x14ac:dyDescent="0.35">
      <c r="A231">
        <v>8709</v>
      </c>
      <c r="B231">
        <v>61</v>
      </c>
      <c r="C231" t="s">
        <v>21</v>
      </c>
      <c r="D231">
        <v>95561</v>
      </c>
      <c r="E231" t="s">
        <v>31</v>
      </c>
      <c r="F231" t="s">
        <v>32</v>
      </c>
      <c r="G231">
        <v>5930.52</v>
      </c>
      <c r="H231">
        <v>0.18</v>
      </c>
      <c r="I231">
        <v>0.19</v>
      </c>
      <c r="J231">
        <v>46</v>
      </c>
      <c r="K231">
        <v>2.13</v>
      </c>
      <c r="L231">
        <v>7.33</v>
      </c>
      <c r="M231">
        <v>57</v>
      </c>
      <c r="N231">
        <v>18</v>
      </c>
      <c r="O231">
        <v>6</v>
      </c>
      <c r="P231">
        <v>6</v>
      </c>
      <c r="Q231">
        <v>666</v>
      </c>
      <c r="R231" t="s">
        <v>23</v>
      </c>
      <c r="S231" t="s">
        <v>24</v>
      </c>
      <c r="T231">
        <v>1</v>
      </c>
      <c r="U231">
        <v>5930.52</v>
      </c>
    </row>
    <row r="232" spans="1:21" x14ac:dyDescent="0.35">
      <c r="A232">
        <v>8714</v>
      </c>
      <c r="B232">
        <v>36</v>
      </c>
      <c r="C232" t="s">
        <v>27</v>
      </c>
      <c r="D232">
        <v>31304</v>
      </c>
      <c r="E232" t="s">
        <v>31</v>
      </c>
      <c r="F232" t="s">
        <v>19</v>
      </c>
      <c r="G232">
        <v>5040.49</v>
      </c>
      <c r="H232">
        <v>0.18</v>
      </c>
      <c r="I232">
        <v>7.0000000000000007E-2</v>
      </c>
      <c r="J232">
        <v>16</v>
      </c>
      <c r="K232">
        <v>1.59</v>
      </c>
      <c r="L232">
        <v>7.72</v>
      </c>
      <c r="M232">
        <v>88</v>
      </c>
      <c r="N232">
        <v>7</v>
      </c>
      <c r="O232">
        <v>9</v>
      </c>
      <c r="P232">
        <v>7</v>
      </c>
      <c r="Q232">
        <v>4730</v>
      </c>
      <c r="R232" t="s">
        <v>23</v>
      </c>
      <c r="S232" t="s">
        <v>24</v>
      </c>
      <c r="T232">
        <v>1</v>
      </c>
      <c r="U232">
        <v>5040.49</v>
      </c>
    </row>
    <row r="233" spans="1:21" x14ac:dyDescent="0.35">
      <c r="A233">
        <v>8723</v>
      </c>
      <c r="B233">
        <v>25</v>
      </c>
      <c r="C233" t="s">
        <v>27</v>
      </c>
      <c r="D233">
        <v>148658</v>
      </c>
      <c r="E233" t="s">
        <v>22</v>
      </c>
      <c r="F233" t="s">
        <v>26</v>
      </c>
      <c r="G233">
        <v>2915.02</v>
      </c>
      <c r="H233">
        <v>0.09</v>
      </c>
      <c r="I233">
        <v>0.09</v>
      </c>
      <c r="J233">
        <v>37</v>
      </c>
      <c r="K233">
        <v>1.67</v>
      </c>
      <c r="L233">
        <v>4.51</v>
      </c>
      <c r="M233">
        <v>59</v>
      </c>
      <c r="N233">
        <v>1</v>
      </c>
      <c r="O233">
        <v>4</v>
      </c>
      <c r="P233">
        <v>7</v>
      </c>
      <c r="Q233">
        <v>4769</v>
      </c>
      <c r="R233" t="s">
        <v>23</v>
      </c>
      <c r="S233" t="s">
        <v>24</v>
      </c>
      <c r="T233">
        <v>0</v>
      </c>
    </row>
    <row r="234" spans="1:21" x14ac:dyDescent="0.35">
      <c r="A234">
        <v>8727</v>
      </c>
      <c r="B234">
        <v>20</v>
      </c>
      <c r="C234" t="s">
        <v>21</v>
      </c>
      <c r="D234">
        <v>78348</v>
      </c>
      <c r="E234" t="s">
        <v>28</v>
      </c>
      <c r="F234" t="s">
        <v>26</v>
      </c>
      <c r="G234">
        <v>1197.03</v>
      </c>
      <c r="H234">
        <v>7.0000000000000007E-2</v>
      </c>
      <c r="I234">
        <v>0.19</v>
      </c>
      <c r="J234">
        <v>39</v>
      </c>
      <c r="K234">
        <v>2.09</v>
      </c>
      <c r="L234">
        <v>1.78</v>
      </c>
      <c r="M234">
        <v>50</v>
      </c>
      <c r="N234">
        <v>10</v>
      </c>
      <c r="O234">
        <v>0</v>
      </c>
      <c r="P234">
        <v>1</v>
      </c>
      <c r="Q234">
        <v>1973</v>
      </c>
      <c r="R234" t="s">
        <v>23</v>
      </c>
      <c r="S234" t="s">
        <v>24</v>
      </c>
      <c r="T234">
        <v>0</v>
      </c>
    </row>
    <row r="235" spans="1:21" x14ac:dyDescent="0.35">
      <c r="A235">
        <v>8729</v>
      </c>
      <c r="B235">
        <v>45</v>
      </c>
      <c r="C235" t="s">
        <v>27</v>
      </c>
      <c r="D235">
        <v>148121</v>
      </c>
      <c r="E235" t="s">
        <v>22</v>
      </c>
      <c r="F235" t="s">
        <v>26</v>
      </c>
      <c r="G235">
        <v>8420.17</v>
      </c>
      <c r="H235">
        <v>0.11</v>
      </c>
      <c r="I235">
        <v>0.11</v>
      </c>
      <c r="J235">
        <v>33</v>
      </c>
      <c r="K235">
        <v>6.02</v>
      </c>
      <c r="L235">
        <v>12.96</v>
      </c>
      <c r="M235">
        <v>56</v>
      </c>
      <c r="N235">
        <v>13</v>
      </c>
      <c r="O235">
        <v>1</v>
      </c>
      <c r="P235">
        <v>9</v>
      </c>
      <c r="Q235">
        <v>2627</v>
      </c>
      <c r="R235" t="s">
        <v>23</v>
      </c>
      <c r="S235" t="s">
        <v>24</v>
      </c>
      <c r="T235">
        <v>1</v>
      </c>
      <c r="U235">
        <v>8420.17</v>
      </c>
    </row>
    <row r="236" spans="1:21" x14ac:dyDescent="0.35">
      <c r="A236">
        <v>8730</v>
      </c>
      <c r="B236">
        <v>66</v>
      </c>
      <c r="C236" t="s">
        <v>21</v>
      </c>
      <c r="D236">
        <v>100972</v>
      </c>
      <c r="E236" t="s">
        <v>25</v>
      </c>
      <c r="F236" t="s">
        <v>26</v>
      </c>
      <c r="G236">
        <v>6820.19</v>
      </c>
      <c r="H236">
        <v>0.28999999999999998</v>
      </c>
      <c r="I236">
        <v>0.12</v>
      </c>
      <c r="J236">
        <v>9</v>
      </c>
      <c r="K236">
        <v>3.81</v>
      </c>
      <c r="L236">
        <v>5.75</v>
      </c>
      <c r="M236">
        <v>83</v>
      </c>
      <c r="N236">
        <v>4</v>
      </c>
      <c r="O236">
        <v>2</v>
      </c>
      <c r="P236">
        <v>4</v>
      </c>
      <c r="Q236">
        <v>3913</v>
      </c>
      <c r="R236" t="s">
        <v>23</v>
      </c>
      <c r="S236" t="s">
        <v>24</v>
      </c>
      <c r="T236">
        <v>1</v>
      </c>
      <c r="U236">
        <v>6820.19</v>
      </c>
    </row>
    <row r="237" spans="1:21" x14ac:dyDescent="0.35">
      <c r="A237">
        <v>8733</v>
      </c>
      <c r="B237">
        <v>55</v>
      </c>
      <c r="C237" t="s">
        <v>21</v>
      </c>
      <c r="D237">
        <v>100732</v>
      </c>
      <c r="E237" t="s">
        <v>25</v>
      </c>
      <c r="F237" t="s">
        <v>26</v>
      </c>
      <c r="G237">
        <v>8607.68</v>
      </c>
      <c r="H237">
        <v>0.05</v>
      </c>
      <c r="I237">
        <v>0.19</v>
      </c>
      <c r="J237">
        <v>43</v>
      </c>
      <c r="K237">
        <v>3.22</v>
      </c>
      <c r="L237">
        <v>10.029999999999999</v>
      </c>
      <c r="M237">
        <v>5</v>
      </c>
      <c r="N237">
        <v>4</v>
      </c>
      <c r="O237">
        <v>8</v>
      </c>
      <c r="P237">
        <v>4</v>
      </c>
      <c r="Q237">
        <v>2673</v>
      </c>
      <c r="R237" t="s">
        <v>23</v>
      </c>
      <c r="S237" t="s">
        <v>24</v>
      </c>
      <c r="T237">
        <v>1</v>
      </c>
      <c r="U237">
        <v>8607.68</v>
      </c>
    </row>
    <row r="238" spans="1:21" x14ac:dyDescent="0.35">
      <c r="A238">
        <v>8734</v>
      </c>
      <c r="B238">
        <v>23</v>
      </c>
      <c r="C238" t="s">
        <v>21</v>
      </c>
      <c r="D238">
        <v>80200</v>
      </c>
      <c r="E238" t="s">
        <v>28</v>
      </c>
      <c r="F238" t="s">
        <v>32</v>
      </c>
      <c r="G238">
        <v>1307.55</v>
      </c>
      <c r="H238">
        <v>0.03</v>
      </c>
      <c r="I238">
        <v>0.06</v>
      </c>
      <c r="J238">
        <v>9</v>
      </c>
      <c r="K238">
        <v>1.31</v>
      </c>
      <c r="L238">
        <v>7.27</v>
      </c>
      <c r="M238">
        <v>6</v>
      </c>
      <c r="N238">
        <v>4</v>
      </c>
      <c r="O238">
        <v>3</v>
      </c>
      <c r="P238">
        <v>9</v>
      </c>
      <c r="Q238">
        <v>627</v>
      </c>
      <c r="R238" t="s">
        <v>23</v>
      </c>
      <c r="S238" t="s">
        <v>24</v>
      </c>
      <c r="T238">
        <v>0</v>
      </c>
    </row>
    <row r="239" spans="1:21" x14ac:dyDescent="0.35">
      <c r="A239">
        <v>8739</v>
      </c>
      <c r="B239">
        <v>64</v>
      </c>
      <c r="C239" t="s">
        <v>27</v>
      </c>
      <c r="D239">
        <v>118120</v>
      </c>
      <c r="E239" t="s">
        <v>25</v>
      </c>
      <c r="F239" t="s">
        <v>19</v>
      </c>
      <c r="G239">
        <v>5800.55</v>
      </c>
      <c r="H239">
        <v>0.12</v>
      </c>
      <c r="I239">
        <v>0.05</v>
      </c>
      <c r="J239">
        <v>6</v>
      </c>
      <c r="K239">
        <v>1.59</v>
      </c>
      <c r="L239">
        <v>7.08</v>
      </c>
      <c r="M239">
        <v>97</v>
      </c>
      <c r="N239">
        <v>1</v>
      </c>
      <c r="O239">
        <v>7</v>
      </c>
      <c r="P239">
        <v>9</v>
      </c>
      <c r="Q239">
        <v>4006</v>
      </c>
      <c r="R239" t="s">
        <v>23</v>
      </c>
      <c r="S239" t="s">
        <v>24</v>
      </c>
      <c r="T239">
        <v>1</v>
      </c>
      <c r="U239">
        <v>5800.55</v>
      </c>
    </row>
    <row r="240" spans="1:21" x14ac:dyDescent="0.35">
      <c r="A240">
        <v>8742</v>
      </c>
      <c r="B240">
        <v>38</v>
      </c>
      <c r="C240" t="s">
        <v>21</v>
      </c>
      <c r="D240">
        <v>64840</v>
      </c>
      <c r="E240" t="s">
        <v>29</v>
      </c>
      <c r="F240" t="s">
        <v>19</v>
      </c>
      <c r="G240">
        <v>5395.05</v>
      </c>
      <c r="H240">
        <v>0.17</v>
      </c>
      <c r="I240">
        <v>0.18</v>
      </c>
      <c r="J240">
        <v>12</v>
      </c>
      <c r="K240">
        <v>9.19</v>
      </c>
      <c r="L240">
        <v>9.7200000000000006</v>
      </c>
      <c r="M240">
        <v>4</v>
      </c>
      <c r="N240">
        <v>9</v>
      </c>
      <c r="O240">
        <v>4</v>
      </c>
      <c r="P240">
        <v>8</v>
      </c>
      <c r="Q240">
        <v>1071</v>
      </c>
      <c r="R240" t="s">
        <v>23</v>
      </c>
      <c r="S240" t="s">
        <v>24</v>
      </c>
      <c r="T240">
        <v>1</v>
      </c>
      <c r="U240">
        <v>5395.05</v>
      </c>
    </row>
    <row r="241" spans="1:21" x14ac:dyDescent="0.35">
      <c r="A241">
        <v>8746</v>
      </c>
      <c r="B241">
        <v>52</v>
      </c>
      <c r="C241" t="s">
        <v>21</v>
      </c>
      <c r="D241">
        <v>79321</v>
      </c>
      <c r="E241" t="s">
        <v>31</v>
      </c>
      <c r="F241" t="s">
        <v>32</v>
      </c>
      <c r="G241">
        <v>6244.07</v>
      </c>
      <c r="H241">
        <v>0.16</v>
      </c>
      <c r="I241">
        <v>0.13</v>
      </c>
      <c r="J241">
        <v>46</v>
      </c>
      <c r="K241">
        <v>6.97</v>
      </c>
      <c r="L241">
        <v>5.81</v>
      </c>
      <c r="M241">
        <v>1</v>
      </c>
      <c r="N241">
        <v>9</v>
      </c>
      <c r="O241">
        <v>3</v>
      </c>
      <c r="P241">
        <v>9</v>
      </c>
      <c r="Q241">
        <v>2360</v>
      </c>
      <c r="R241" t="s">
        <v>23</v>
      </c>
      <c r="S241" t="s">
        <v>24</v>
      </c>
      <c r="T241">
        <v>1</v>
      </c>
      <c r="U241">
        <v>6244.07</v>
      </c>
    </row>
    <row r="242" spans="1:21" x14ac:dyDescent="0.35">
      <c r="A242">
        <v>8748</v>
      </c>
      <c r="B242">
        <v>37</v>
      </c>
      <c r="C242" t="s">
        <v>21</v>
      </c>
      <c r="D242">
        <v>63202</v>
      </c>
      <c r="E242" t="s">
        <v>31</v>
      </c>
      <c r="F242" t="s">
        <v>30</v>
      </c>
      <c r="G242">
        <v>4120.01</v>
      </c>
      <c r="H242">
        <v>0.09</v>
      </c>
      <c r="I242">
        <v>0.06</v>
      </c>
      <c r="J242">
        <v>46</v>
      </c>
      <c r="K242">
        <v>4.84</v>
      </c>
      <c r="L242">
        <v>2.2200000000000002</v>
      </c>
      <c r="M242">
        <v>9</v>
      </c>
      <c r="N242">
        <v>18</v>
      </c>
      <c r="O242">
        <v>5</v>
      </c>
      <c r="P242">
        <v>1</v>
      </c>
      <c r="Q242">
        <v>2299</v>
      </c>
      <c r="R242" t="s">
        <v>23</v>
      </c>
      <c r="S242" t="s">
        <v>24</v>
      </c>
      <c r="T242">
        <v>1</v>
      </c>
      <c r="U242">
        <v>4120.01</v>
      </c>
    </row>
    <row r="243" spans="1:21" x14ac:dyDescent="0.35">
      <c r="A243">
        <v>8750</v>
      </c>
      <c r="B243">
        <v>64</v>
      </c>
      <c r="C243" t="s">
        <v>21</v>
      </c>
      <c r="D243">
        <v>23090</v>
      </c>
      <c r="E243" t="s">
        <v>22</v>
      </c>
      <c r="F243" t="s">
        <v>30</v>
      </c>
      <c r="G243">
        <v>401.22</v>
      </c>
      <c r="H243">
        <v>0.23</v>
      </c>
      <c r="I243">
        <v>0.05</v>
      </c>
      <c r="J243">
        <v>9</v>
      </c>
      <c r="K243">
        <v>2.41</v>
      </c>
      <c r="L243">
        <v>11.94</v>
      </c>
      <c r="M243">
        <v>50</v>
      </c>
      <c r="N243">
        <v>1</v>
      </c>
      <c r="O243">
        <v>6</v>
      </c>
      <c r="P243">
        <v>5</v>
      </c>
      <c r="Q243">
        <v>2099</v>
      </c>
      <c r="R243" t="s">
        <v>23</v>
      </c>
      <c r="S243" t="s">
        <v>24</v>
      </c>
      <c r="T243">
        <v>1</v>
      </c>
      <c r="U243">
        <v>401.22</v>
      </c>
    </row>
    <row r="244" spans="1:21" x14ac:dyDescent="0.35">
      <c r="A244">
        <v>8756</v>
      </c>
      <c r="B244">
        <v>18</v>
      </c>
      <c r="C244" t="s">
        <v>21</v>
      </c>
      <c r="D244">
        <v>125297</v>
      </c>
      <c r="E244" t="s">
        <v>25</v>
      </c>
      <c r="F244" t="s">
        <v>26</v>
      </c>
      <c r="G244">
        <v>4031.75</v>
      </c>
      <c r="H244">
        <v>0.22</v>
      </c>
      <c r="I244">
        <v>0.08</v>
      </c>
      <c r="J244">
        <v>44</v>
      </c>
      <c r="K244">
        <v>3.62</v>
      </c>
      <c r="L244">
        <v>5.75</v>
      </c>
      <c r="M244">
        <v>23</v>
      </c>
      <c r="N244">
        <v>0</v>
      </c>
      <c r="O244">
        <v>3</v>
      </c>
      <c r="P244">
        <v>3</v>
      </c>
      <c r="Q244">
        <v>353</v>
      </c>
      <c r="R244" t="s">
        <v>23</v>
      </c>
      <c r="S244" t="s">
        <v>24</v>
      </c>
      <c r="T244">
        <v>1</v>
      </c>
      <c r="U244">
        <v>4031.75</v>
      </c>
    </row>
    <row r="245" spans="1:21" x14ac:dyDescent="0.35">
      <c r="A245">
        <v>8758</v>
      </c>
      <c r="B245">
        <v>33</v>
      </c>
      <c r="C245" t="s">
        <v>21</v>
      </c>
      <c r="D245">
        <v>41661</v>
      </c>
      <c r="E245" t="s">
        <v>29</v>
      </c>
      <c r="F245" t="s">
        <v>32</v>
      </c>
      <c r="G245">
        <v>9347.0300000000007</v>
      </c>
      <c r="H245">
        <v>0.2</v>
      </c>
      <c r="I245">
        <v>0.1</v>
      </c>
      <c r="J245">
        <v>16</v>
      </c>
      <c r="K245">
        <v>3.35</v>
      </c>
      <c r="L245">
        <v>8.06</v>
      </c>
      <c r="M245">
        <v>55</v>
      </c>
      <c r="N245">
        <v>17</v>
      </c>
      <c r="O245">
        <v>5</v>
      </c>
      <c r="P245">
        <v>3</v>
      </c>
      <c r="Q245">
        <v>2310</v>
      </c>
      <c r="R245" t="s">
        <v>23</v>
      </c>
      <c r="S245" t="s">
        <v>24</v>
      </c>
      <c r="T245">
        <v>1</v>
      </c>
      <c r="U245">
        <v>9347.0300000000007</v>
      </c>
    </row>
    <row r="246" spans="1:21" x14ac:dyDescent="0.35">
      <c r="A246">
        <v>8764</v>
      </c>
      <c r="B246">
        <v>33</v>
      </c>
      <c r="C246" t="s">
        <v>27</v>
      </c>
      <c r="D246">
        <v>85843</v>
      </c>
      <c r="E246" t="s">
        <v>31</v>
      </c>
      <c r="F246" t="s">
        <v>30</v>
      </c>
      <c r="G246">
        <v>2903.51</v>
      </c>
      <c r="H246">
        <v>0.23</v>
      </c>
      <c r="I246">
        <v>0.01</v>
      </c>
      <c r="J246">
        <v>0</v>
      </c>
      <c r="K246">
        <v>4.83</v>
      </c>
      <c r="L246">
        <v>5.37</v>
      </c>
      <c r="M246">
        <v>80</v>
      </c>
      <c r="N246">
        <v>14</v>
      </c>
      <c r="O246">
        <v>7</v>
      </c>
      <c r="P246">
        <v>3</v>
      </c>
      <c r="Q246">
        <v>329</v>
      </c>
      <c r="R246" t="s">
        <v>23</v>
      </c>
      <c r="S246" t="s">
        <v>24</v>
      </c>
      <c r="T246">
        <v>1</v>
      </c>
      <c r="U246">
        <v>2903.51</v>
      </c>
    </row>
    <row r="247" spans="1:21" x14ac:dyDescent="0.35">
      <c r="A247">
        <v>8765</v>
      </c>
      <c r="B247">
        <v>25</v>
      </c>
      <c r="C247" t="s">
        <v>27</v>
      </c>
      <c r="D247">
        <v>80752</v>
      </c>
      <c r="E247" t="s">
        <v>28</v>
      </c>
      <c r="F247" t="s">
        <v>26</v>
      </c>
      <c r="G247">
        <v>6035.83</v>
      </c>
      <c r="H247">
        <v>0.13</v>
      </c>
      <c r="I247">
        <v>0.16</v>
      </c>
      <c r="J247">
        <v>31</v>
      </c>
      <c r="K247">
        <v>5.0199999999999996</v>
      </c>
      <c r="L247">
        <v>2.75</v>
      </c>
      <c r="M247">
        <v>11</v>
      </c>
      <c r="N247">
        <v>5</v>
      </c>
      <c r="O247">
        <v>0</v>
      </c>
      <c r="P247">
        <v>8</v>
      </c>
      <c r="Q247">
        <v>3479</v>
      </c>
      <c r="R247" t="s">
        <v>23</v>
      </c>
      <c r="S247" t="s">
        <v>24</v>
      </c>
      <c r="T247">
        <v>1</v>
      </c>
      <c r="U247">
        <v>6035.83</v>
      </c>
    </row>
    <row r="248" spans="1:21" x14ac:dyDescent="0.35">
      <c r="A248">
        <v>8768</v>
      </c>
      <c r="B248">
        <v>41</v>
      </c>
      <c r="C248" t="s">
        <v>27</v>
      </c>
      <c r="D248">
        <v>114328</v>
      </c>
      <c r="E248" t="s">
        <v>29</v>
      </c>
      <c r="F248" t="s">
        <v>19</v>
      </c>
      <c r="G248">
        <v>8095.47</v>
      </c>
      <c r="H248">
        <v>0.04</v>
      </c>
      <c r="I248">
        <v>0.17</v>
      </c>
      <c r="J248">
        <v>17</v>
      </c>
      <c r="K248">
        <v>9.43</v>
      </c>
      <c r="L248">
        <v>11.41</v>
      </c>
      <c r="M248">
        <v>71</v>
      </c>
      <c r="N248">
        <v>11</v>
      </c>
      <c r="O248">
        <v>3</v>
      </c>
      <c r="P248">
        <v>3</v>
      </c>
      <c r="Q248">
        <v>2470</v>
      </c>
      <c r="R248" t="s">
        <v>23</v>
      </c>
      <c r="S248" t="s">
        <v>24</v>
      </c>
      <c r="T248">
        <v>1</v>
      </c>
      <c r="U248">
        <v>8095.47</v>
      </c>
    </row>
    <row r="249" spans="1:21" x14ac:dyDescent="0.35">
      <c r="A249">
        <v>8769</v>
      </c>
      <c r="B249">
        <v>45</v>
      </c>
      <c r="C249" t="s">
        <v>27</v>
      </c>
      <c r="D249">
        <v>20765</v>
      </c>
      <c r="E249" t="s">
        <v>31</v>
      </c>
      <c r="F249" t="s">
        <v>30</v>
      </c>
      <c r="G249">
        <v>1316.02</v>
      </c>
      <c r="H249">
        <v>0.21</v>
      </c>
      <c r="I249">
        <v>0.13</v>
      </c>
      <c r="J249">
        <v>49</v>
      </c>
      <c r="K249">
        <v>7.7</v>
      </c>
      <c r="L249">
        <v>1.24</v>
      </c>
      <c r="M249">
        <v>21</v>
      </c>
      <c r="N249">
        <v>9</v>
      </c>
      <c r="O249">
        <v>3</v>
      </c>
      <c r="P249">
        <v>9</v>
      </c>
      <c r="Q249">
        <v>4519</v>
      </c>
      <c r="R249" t="s">
        <v>23</v>
      </c>
      <c r="S249" t="s">
        <v>24</v>
      </c>
      <c r="T249">
        <v>1</v>
      </c>
      <c r="U249">
        <v>1316.02</v>
      </c>
    </row>
    <row r="250" spans="1:21" x14ac:dyDescent="0.35">
      <c r="A250">
        <v>8774</v>
      </c>
      <c r="B250">
        <v>25</v>
      </c>
      <c r="C250" t="s">
        <v>27</v>
      </c>
      <c r="D250">
        <v>93271</v>
      </c>
      <c r="E250" t="s">
        <v>31</v>
      </c>
      <c r="F250" t="s">
        <v>32</v>
      </c>
      <c r="G250">
        <v>9970.5300000000007</v>
      </c>
      <c r="H250">
        <v>0.27</v>
      </c>
      <c r="I250">
        <v>0.06</v>
      </c>
      <c r="J250">
        <v>25</v>
      </c>
      <c r="K250">
        <v>7.95</v>
      </c>
      <c r="L250">
        <v>1.34</v>
      </c>
      <c r="M250">
        <v>27</v>
      </c>
      <c r="N250">
        <v>17</v>
      </c>
      <c r="O250">
        <v>1</v>
      </c>
      <c r="P250">
        <v>7</v>
      </c>
      <c r="Q250">
        <v>3473</v>
      </c>
      <c r="R250" t="s">
        <v>23</v>
      </c>
      <c r="S250" t="s">
        <v>24</v>
      </c>
      <c r="T250">
        <v>1</v>
      </c>
      <c r="U250">
        <v>9970.5300000000007</v>
      </c>
    </row>
    <row r="251" spans="1:21" x14ac:dyDescent="0.35">
      <c r="A251">
        <v>8776</v>
      </c>
      <c r="B251">
        <v>45</v>
      </c>
      <c r="C251" t="s">
        <v>27</v>
      </c>
      <c r="D251">
        <v>67199</v>
      </c>
      <c r="E251" t="s">
        <v>25</v>
      </c>
      <c r="F251" t="s">
        <v>26</v>
      </c>
      <c r="G251">
        <v>1905.06</v>
      </c>
      <c r="H251">
        <v>0.17</v>
      </c>
      <c r="I251">
        <v>0.13</v>
      </c>
      <c r="J251">
        <v>27</v>
      </c>
      <c r="K251">
        <v>7.74</v>
      </c>
      <c r="L251">
        <v>14.58</v>
      </c>
      <c r="M251">
        <v>27</v>
      </c>
      <c r="N251">
        <v>8</v>
      </c>
      <c r="O251">
        <v>4</v>
      </c>
      <c r="P251">
        <v>9</v>
      </c>
      <c r="Q251">
        <v>1287</v>
      </c>
      <c r="R251" t="s">
        <v>23</v>
      </c>
      <c r="S251" t="s">
        <v>24</v>
      </c>
      <c r="T251">
        <v>1</v>
      </c>
      <c r="U251">
        <v>1905.06</v>
      </c>
    </row>
    <row r="252" spans="1:21" x14ac:dyDescent="0.35">
      <c r="A252">
        <v>8795</v>
      </c>
      <c r="B252">
        <v>68</v>
      </c>
      <c r="C252" t="s">
        <v>27</v>
      </c>
      <c r="D252">
        <v>39631</v>
      </c>
      <c r="E252" t="s">
        <v>22</v>
      </c>
      <c r="F252" t="s">
        <v>30</v>
      </c>
      <c r="G252">
        <v>4908.2299999999996</v>
      </c>
      <c r="H252">
        <v>0.16</v>
      </c>
      <c r="I252">
        <v>0.08</v>
      </c>
      <c r="J252">
        <v>26</v>
      </c>
      <c r="K252">
        <v>7.46</v>
      </c>
      <c r="L252">
        <v>6.44</v>
      </c>
      <c r="M252">
        <v>34</v>
      </c>
      <c r="N252">
        <v>3</v>
      </c>
      <c r="O252">
        <v>4</v>
      </c>
      <c r="P252">
        <v>6</v>
      </c>
      <c r="Q252">
        <v>1260</v>
      </c>
      <c r="R252" t="s">
        <v>23</v>
      </c>
      <c r="S252" t="s">
        <v>24</v>
      </c>
      <c r="T252">
        <v>1</v>
      </c>
      <c r="U252">
        <v>4908.2299999999996</v>
      </c>
    </row>
    <row r="253" spans="1:21" x14ac:dyDescent="0.35">
      <c r="A253">
        <v>8796</v>
      </c>
      <c r="B253">
        <v>22</v>
      </c>
      <c r="C253" t="s">
        <v>21</v>
      </c>
      <c r="D253">
        <v>72652</v>
      </c>
      <c r="E253" t="s">
        <v>31</v>
      </c>
      <c r="F253" t="s">
        <v>32</v>
      </c>
      <c r="G253">
        <v>1410.49</v>
      </c>
      <c r="H253">
        <v>0.16</v>
      </c>
      <c r="I253">
        <v>0.19</v>
      </c>
      <c r="J253">
        <v>16</v>
      </c>
      <c r="K253">
        <v>5.73</v>
      </c>
      <c r="L253">
        <v>8.5299999999999994</v>
      </c>
      <c r="M253">
        <v>96</v>
      </c>
      <c r="N253">
        <v>8</v>
      </c>
      <c r="O253">
        <v>2</v>
      </c>
      <c r="P253">
        <v>0</v>
      </c>
      <c r="Q253">
        <v>3759</v>
      </c>
      <c r="R253" t="s">
        <v>23</v>
      </c>
      <c r="S253" t="s">
        <v>24</v>
      </c>
      <c r="T253">
        <v>1</v>
      </c>
      <c r="U253">
        <v>1410.49</v>
      </c>
    </row>
    <row r="254" spans="1:21" x14ac:dyDescent="0.35">
      <c r="A254">
        <v>8801</v>
      </c>
      <c r="B254">
        <v>47</v>
      </c>
      <c r="C254" t="s">
        <v>27</v>
      </c>
      <c r="D254">
        <v>57377</v>
      </c>
      <c r="E254" t="s">
        <v>25</v>
      </c>
      <c r="F254" t="s">
        <v>32</v>
      </c>
      <c r="G254">
        <v>5044.33</v>
      </c>
      <c r="H254">
        <v>0.3</v>
      </c>
      <c r="I254">
        <v>0.15</v>
      </c>
      <c r="J254">
        <v>43</v>
      </c>
      <c r="K254">
        <v>1.4</v>
      </c>
      <c r="L254">
        <v>0.53</v>
      </c>
      <c r="M254">
        <v>32</v>
      </c>
      <c r="N254">
        <v>12</v>
      </c>
      <c r="O254">
        <v>7</v>
      </c>
      <c r="P254">
        <v>3</v>
      </c>
      <c r="Q254">
        <v>3608</v>
      </c>
      <c r="R254" t="s">
        <v>23</v>
      </c>
      <c r="S254" t="s">
        <v>24</v>
      </c>
      <c r="T254">
        <v>1</v>
      </c>
      <c r="U254">
        <v>5044.33</v>
      </c>
    </row>
    <row r="255" spans="1:21" x14ac:dyDescent="0.35">
      <c r="A255">
        <v>8802</v>
      </c>
      <c r="B255">
        <v>67</v>
      </c>
      <c r="C255" t="s">
        <v>27</v>
      </c>
      <c r="D255">
        <v>96670</v>
      </c>
      <c r="E255" t="s">
        <v>31</v>
      </c>
      <c r="F255" t="s">
        <v>32</v>
      </c>
      <c r="G255">
        <v>8047.38</v>
      </c>
      <c r="H255">
        <v>0.26</v>
      </c>
      <c r="I255">
        <v>0.05</v>
      </c>
      <c r="J255">
        <v>47</v>
      </c>
      <c r="K255">
        <v>9.68</v>
      </c>
      <c r="L255">
        <v>11.98</v>
      </c>
      <c r="M255">
        <v>94</v>
      </c>
      <c r="N255">
        <v>16</v>
      </c>
      <c r="O255">
        <v>7</v>
      </c>
      <c r="P255">
        <v>6</v>
      </c>
      <c r="Q255">
        <v>1944</v>
      </c>
      <c r="R255" t="s">
        <v>23</v>
      </c>
      <c r="S255" t="s">
        <v>24</v>
      </c>
      <c r="T255">
        <v>1</v>
      </c>
      <c r="U255">
        <v>8047.38</v>
      </c>
    </row>
    <row r="256" spans="1:21" x14ac:dyDescent="0.35">
      <c r="A256">
        <v>8807</v>
      </c>
      <c r="B256">
        <v>35</v>
      </c>
      <c r="C256" t="s">
        <v>21</v>
      </c>
      <c r="D256">
        <v>133849</v>
      </c>
      <c r="E256" t="s">
        <v>22</v>
      </c>
      <c r="F256" t="s">
        <v>30</v>
      </c>
      <c r="G256">
        <v>6205.6</v>
      </c>
      <c r="H256">
        <v>0.25</v>
      </c>
      <c r="I256">
        <v>7.0000000000000007E-2</v>
      </c>
      <c r="J256">
        <v>33</v>
      </c>
      <c r="K256">
        <v>3.39</v>
      </c>
      <c r="L256">
        <v>9.6999999999999993</v>
      </c>
      <c r="M256">
        <v>99</v>
      </c>
      <c r="N256">
        <v>2</v>
      </c>
      <c r="O256">
        <v>8</v>
      </c>
      <c r="P256">
        <v>9</v>
      </c>
      <c r="Q256">
        <v>4484</v>
      </c>
      <c r="R256" t="s">
        <v>23</v>
      </c>
      <c r="S256" t="s">
        <v>24</v>
      </c>
      <c r="T256">
        <v>1</v>
      </c>
      <c r="U256">
        <v>6205.6</v>
      </c>
    </row>
    <row r="257" spans="1:21" x14ac:dyDescent="0.35">
      <c r="A257">
        <v>8812</v>
      </c>
      <c r="B257">
        <v>38</v>
      </c>
      <c r="C257" t="s">
        <v>21</v>
      </c>
      <c r="D257">
        <v>88289</v>
      </c>
      <c r="E257" t="s">
        <v>28</v>
      </c>
      <c r="F257" t="s">
        <v>19</v>
      </c>
      <c r="G257">
        <v>1509.51</v>
      </c>
      <c r="H257">
        <v>0.12</v>
      </c>
      <c r="I257">
        <v>0.11</v>
      </c>
      <c r="J257">
        <v>27</v>
      </c>
      <c r="K257">
        <v>3.09</v>
      </c>
      <c r="L257">
        <v>0.62</v>
      </c>
      <c r="M257">
        <v>26</v>
      </c>
      <c r="N257">
        <v>13</v>
      </c>
      <c r="O257">
        <v>8</v>
      </c>
      <c r="P257">
        <v>2</v>
      </c>
      <c r="Q257">
        <v>3232</v>
      </c>
      <c r="R257" t="s">
        <v>23</v>
      </c>
      <c r="S257" t="s">
        <v>24</v>
      </c>
      <c r="T257">
        <v>1</v>
      </c>
      <c r="U257">
        <v>1509.51</v>
      </c>
    </row>
    <row r="258" spans="1:21" x14ac:dyDescent="0.35">
      <c r="A258">
        <v>8814</v>
      </c>
      <c r="B258">
        <v>42</v>
      </c>
      <c r="C258" t="s">
        <v>27</v>
      </c>
      <c r="D258">
        <v>119676</v>
      </c>
      <c r="E258" t="s">
        <v>28</v>
      </c>
      <c r="F258" t="s">
        <v>30</v>
      </c>
      <c r="G258">
        <v>9860.82</v>
      </c>
      <c r="H258">
        <v>0.22</v>
      </c>
      <c r="I258">
        <v>0.01</v>
      </c>
      <c r="J258">
        <v>47</v>
      </c>
      <c r="K258">
        <v>4.63</v>
      </c>
      <c r="L258">
        <v>12.64</v>
      </c>
      <c r="M258">
        <v>57</v>
      </c>
      <c r="N258">
        <v>18</v>
      </c>
      <c r="O258">
        <v>9</v>
      </c>
      <c r="P258">
        <v>7</v>
      </c>
      <c r="Q258">
        <v>3758</v>
      </c>
      <c r="R258" t="s">
        <v>23</v>
      </c>
      <c r="S258" t="s">
        <v>24</v>
      </c>
      <c r="T258">
        <v>1</v>
      </c>
      <c r="U258">
        <v>9860.82</v>
      </c>
    </row>
    <row r="259" spans="1:21" x14ac:dyDescent="0.35">
      <c r="A259">
        <v>8816</v>
      </c>
      <c r="B259">
        <v>44</v>
      </c>
      <c r="C259" t="s">
        <v>21</v>
      </c>
      <c r="D259">
        <v>95172</v>
      </c>
      <c r="E259" t="s">
        <v>31</v>
      </c>
      <c r="F259" t="s">
        <v>30</v>
      </c>
      <c r="G259">
        <v>6730.02</v>
      </c>
      <c r="H259">
        <v>0.19</v>
      </c>
      <c r="I259">
        <v>0.1</v>
      </c>
      <c r="J259">
        <v>17</v>
      </c>
      <c r="K259">
        <v>1.19</v>
      </c>
      <c r="L259">
        <v>6.62</v>
      </c>
      <c r="M259">
        <v>3</v>
      </c>
      <c r="N259">
        <v>18</v>
      </c>
      <c r="O259">
        <v>3</v>
      </c>
      <c r="P259">
        <v>2</v>
      </c>
      <c r="Q259">
        <v>3114</v>
      </c>
      <c r="R259" t="s">
        <v>23</v>
      </c>
      <c r="S259" t="s">
        <v>24</v>
      </c>
      <c r="T259">
        <v>1</v>
      </c>
      <c r="U259">
        <v>6730.02</v>
      </c>
    </row>
    <row r="260" spans="1:21" x14ac:dyDescent="0.35">
      <c r="A260">
        <v>8819</v>
      </c>
      <c r="B260">
        <v>50</v>
      </c>
      <c r="C260" t="s">
        <v>21</v>
      </c>
      <c r="D260">
        <v>61249</v>
      </c>
      <c r="E260" t="s">
        <v>22</v>
      </c>
      <c r="F260" t="s">
        <v>32</v>
      </c>
      <c r="G260">
        <v>1958.04</v>
      </c>
      <c r="H260">
        <v>0.27</v>
      </c>
      <c r="I260">
        <v>0.04</v>
      </c>
      <c r="J260">
        <v>15</v>
      </c>
      <c r="K260">
        <v>2.95</v>
      </c>
      <c r="L260">
        <v>12.74</v>
      </c>
      <c r="M260">
        <v>79</v>
      </c>
      <c r="N260">
        <v>10</v>
      </c>
      <c r="O260">
        <v>8</v>
      </c>
      <c r="P260">
        <v>3</v>
      </c>
      <c r="Q260">
        <v>3774</v>
      </c>
      <c r="R260" t="s">
        <v>23</v>
      </c>
      <c r="S260" t="s">
        <v>24</v>
      </c>
      <c r="T260">
        <v>1</v>
      </c>
      <c r="U260">
        <v>1958.04</v>
      </c>
    </row>
    <row r="261" spans="1:21" x14ac:dyDescent="0.35">
      <c r="A261">
        <v>8820</v>
      </c>
      <c r="B261">
        <v>51</v>
      </c>
      <c r="C261" t="s">
        <v>27</v>
      </c>
      <c r="D261">
        <v>63025</v>
      </c>
      <c r="E261" t="s">
        <v>31</v>
      </c>
      <c r="F261" t="s">
        <v>30</v>
      </c>
      <c r="G261">
        <v>210.99</v>
      </c>
      <c r="H261">
        <v>0.17</v>
      </c>
      <c r="I261">
        <v>0.08</v>
      </c>
      <c r="J261">
        <v>32</v>
      </c>
      <c r="K261">
        <v>2.2799999999999998</v>
      </c>
      <c r="L261">
        <v>8.8000000000000007</v>
      </c>
      <c r="M261">
        <v>90</v>
      </c>
      <c r="N261">
        <v>0</v>
      </c>
      <c r="O261">
        <v>4</v>
      </c>
      <c r="P261">
        <v>8</v>
      </c>
      <c r="Q261">
        <v>1793</v>
      </c>
      <c r="R261" t="s">
        <v>23</v>
      </c>
      <c r="S261" t="s">
        <v>24</v>
      </c>
      <c r="T261">
        <v>1</v>
      </c>
      <c r="U261">
        <v>210.99</v>
      </c>
    </row>
    <row r="262" spans="1:21" x14ac:dyDescent="0.35">
      <c r="A262">
        <v>8822</v>
      </c>
      <c r="B262">
        <v>52</v>
      </c>
      <c r="C262" t="s">
        <v>21</v>
      </c>
      <c r="D262">
        <v>105865</v>
      </c>
      <c r="E262" t="s">
        <v>29</v>
      </c>
      <c r="F262" t="s">
        <v>19</v>
      </c>
      <c r="G262">
        <v>9004.43</v>
      </c>
      <c r="H262">
        <v>0.14000000000000001</v>
      </c>
      <c r="I262">
        <v>0.02</v>
      </c>
      <c r="J262">
        <v>4</v>
      </c>
      <c r="K262">
        <v>3.17</v>
      </c>
      <c r="L262">
        <v>14.84</v>
      </c>
      <c r="M262">
        <v>19</v>
      </c>
      <c r="N262">
        <v>7</v>
      </c>
      <c r="O262">
        <v>7</v>
      </c>
      <c r="P262">
        <v>8</v>
      </c>
      <c r="Q262">
        <v>2017</v>
      </c>
      <c r="R262" t="s">
        <v>23</v>
      </c>
      <c r="S262" t="s">
        <v>24</v>
      </c>
      <c r="T262">
        <v>1</v>
      </c>
      <c r="U262">
        <v>9004.43</v>
      </c>
    </row>
    <row r="263" spans="1:21" x14ac:dyDescent="0.35">
      <c r="A263">
        <v>8823</v>
      </c>
      <c r="B263">
        <v>18</v>
      </c>
      <c r="C263" t="s">
        <v>27</v>
      </c>
      <c r="D263">
        <v>36713</v>
      </c>
      <c r="E263" t="s">
        <v>29</v>
      </c>
      <c r="F263" t="s">
        <v>30</v>
      </c>
      <c r="G263">
        <v>9039.5</v>
      </c>
      <c r="H263">
        <v>0.16</v>
      </c>
      <c r="I263">
        <v>0.18</v>
      </c>
      <c r="J263">
        <v>46</v>
      </c>
      <c r="K263">
        <v>5.16</v>
      </c>
      <c r="L263">
        <v>11.67</v>
      </c>
      <c r="M263">
        <v>45</v>
      </c>
      <c r="N263">
        <v>6</v>
      </c>
      <c r="O263">
        <v>7</v>
      </c>
      <c r="P263">
        <v>3</v>
      </c>
      <c r="Q263">
        <v>3816</v>
      </c>
      <c r="R263" t="s">
        <v>23</v>
      </c>
      <c r="S263" t="s">
        <v>24</v>
      </c>
      <c r="T263">
        <v>1</v>
      </c>
      <c r="U263">
        <v>9039.5</v>
      </c>
    </row>
    <row r="264" spans="1:21" x14ac:dyDescent="0.35">
      <c r="A264">
        <v>8825</v>
      </c>
      <c r="B264">
        <v>65</v>
      </c>
      <c r="C264" t="s">
        <v>21</v>
      </c>
      <c r="D264">
        <v>24858</v>
      </c>
      <c r="E264" t="s">
        <v>28</v>
      </c>
      <c r="F264" t="s">
        <v>30</v>
      </c>
      <c r="G264">
        <v>2123.09</v>
      </c>
      <c r="H264">
        <v>0.25</v>
      </c>
      <c r="I264">
        <v>0.02</v>
      </c>
      <c r="J264">
        <v>36</v>
      </c>
      <c r="K264">
        <v>1.56</v>
      </c>
      <c r="L264">
        <v>11.71</v>
      </c>
      <c r="M264">
        <v>0</v>
      </c>
      <c r="N264">
        <v>15</v>
      </c>
      <c r="O264">
        <v>6</v>
      </c>
      <c r="P264">
        <v>4</v>
      </c>
      <c r="Q264">
        <v>765</v>
      </c>
      <c r="R264" t="s">
        <v>23</v>
      </c>
      <c r="S264" t="s">
        <v>24</v>
      </c>
      <c r="T264">
        <v>1</v>
      </c>
      <c r="U264">
        <v>2123.09</v>
      </c>
    </row>
    <row r="265" spans="1:21" x14ac:dyDescent="0.35">
      <c r="A265">
        <v>8830</v>
      </c>
      <c r="B265">
        <v>48</v>
      </c>
      <c r="C265" t="s">
        <v>21</v>
      </c>
      <c r="D265">
        <v>131923</v>
      </c>
      <c r="E265" t="s">
        <v>28</v>
      </c>
      <c r="F265" t="s">
        <v>26</v>
      </c>
      <c r="G265">
        <v>5960.13</v>
      </c>
      <c r="H265">
        <v>0.26</v>
      </c>
      <c r="I265">
        <v>0.17</v>
      </c>
      <c r="J265">
        <v>10</v>
      </c>
      <c r="K265">
        <v>8.1300000000000008</v>
      </c>
      <c r="L265">
        <v>6.79</v>
      </c>
      <c r="M265">
        <v>83</v>
      </c>
      <c r="N265">
        <v>3</v>
      </c>
      <c r="O265">
        <v>9</v>
      </c>
      <c r="P265">
        <v>0</v>
      </c>
      <c r="Q265">
        <v>2976</v>
      </c>
      <c r="R265" t="s">
        <v>23</v>
      </c>
      <c r="S265" t="s">
        <v>24</v>
      </c>
      <c r="T265">
        <v>1</v>
      </c>
      <c r="U265">
        <v>5960.13</v>
      </c>
    </row>
    <row r="266" spans="1:21" x14ac:dyDescent="0.35">
      <c r="A266">
        <v>8831</v>
      </c>
      <c r="B266">
        <v>22</v>
      </c>
      <c r="C266" t="s">
        <v>21</v>
      </c>
      <c r="D266">
        <v>24539</v>
      </c>
      <c r="E266" t="s">
        <v>28</v>
      </c>
      <c r="F266" t="s">
        <v>30</v>
      </c>
      <c r="G266">
        <v>1052.3800000000001</v>
      </c>
      <c r="H266">
        <v>0.09</v>
      </c>
      <c r="I266">
        <v>0.05</v>
      </c>
      <c r="J266">
        <v>21</v>
      </c>
      <c r="K266">
        <v>8.5299999999999994</v>
      </c>
      <c r="L266">
        <v>10.51</v>
      </c>
      <c r="M266">
        <v>79</v>
      </c>
      <c r="N266">
        <v>18</v>
      </c>
      <c r="O266">
        <v>9</v>
      </c>
      <c r="P266">
        <v>1</v>
      </c>
      <c r="Q266">
        <v>413</v>
      </c>
      <c r="R266" t="s">
        <v>23</v>
      </c>
      <c r="S266" t="s">
        <v>24</v>
      </c>
      <c r="T266">
        <v>0</v>
      </c>
    </row>
    <row r="267" spans="1:21" x14ac:dyDescent="0.35">
      <c r="A267">
        <v>8835</v>
      </c>
      <c r="B267">
        <v>54</v>
      </c>
      <c r="C267" t="s">
        <v>27</v>
      </c>
      <c r="D267">
        <v>122207</v>
      </c>
      <c r="E267" t="s">
        <v>22</v>
      </c>
      <c r="F267" t="s">
        <v>32</v>
      </c>
      <c r="G267">
        <v>5240.54</v>
      </c>
      <c r="H267">
        <v>0.26</v>
      </c>
      <c r="I267">
        <v>0.15</v>
      </c>
      <c r="J267">
        <v>2</v>
      </c>
      <c r="K267">
        <v>5.56</v>
      </c>
      <c r="L267">
        <v>11.86</v>
      </c>
      <c r="M267">
        <v>78</v>
      </c>
      <c r="N267">
        <v>12</v>
      </c>
      <c r="O267">
        <v>7</v>
      </c>
      <c r="P267">
        <v>3</v>
      </c>
      <c r="Q267">
        <v>648</v>
      </c>
      <c r="R267" t="s">
        <v>23</v>
      </c>
      <c r="S267" t="s">
        <v>24</v>
      </c>
      <c r="T267">
        <v>1</v>
      </c>
      <c r="U267">
        <v>5240.54</v>
      </c>
    </row>
    <row r="268" spans="1:21" x14ac:dyDescent="0.35">
      <c r="A268">
        <v>8836</v>
      </c>
      <c r="B268">
        <v>54</v>
      </c>
      <c r="C268" t="s">
        <v>27</v>
      </c>
      <c r="D268">
        <v>25364</v>
      </c>
      <c r="E268" t="s">
        <v>28</v>
      </c>
      <c r="F268" t="s">
        <v>30</v>
      </c>
      <c r="G268">
        <v>3026.93</v>
      </c>
      <c r="H268">
        <v>0.02</v>
      </c>
      <c r="I268">
        <v>0.15</v>
      </c>
      <c r="J268">
        <v>41</v>
      </c>
      <c r="K268">
        <v>5.22</v>
      </c>
      <c r="L268">
        <v>9.14</v>
      </c>
      <c r="M268">
        <v>15</v>
      </c>
      <c r="N268">
        <v>2</v>
      </c>
      <c r="O268">
        <v>5</v>
      </c>
      <c r="P268">
        <v>7</v>
      </c>
      <c r="Q268">
        <v>199</v>
      </c>
      <c r="R268" t="s">
        <v>23</v>
      </c>
      <c r="S268" t="s">
        <v>24</v>
      </c>
      <c r="T268">
        <v>1</v>
      </c>
      <c r="U268">
        <v>3026.93</v>
      </c>
    </row>
    <row r="269" spans="1:21" x14ac:dyDescent="0.35">
      <c r="A269">
        <v>8838</v>
      </c>
      <c r="B269">
        <v>27</v>
      </c>
      <c r="C269" t="s">
        <v>21</v>
      </c>
      <c r="D269">
        <v>79169</v>
      </c>
      <c r="E269" t="s">
        <v>25</v>
      </c>
      <c r="F269" t="s">
        <v>26</v>
      </c>
      <c r="G269">
        <v>5780.81</v>
      </c>
      <c r="H269">
        <v>0.27</v>
      </c>
      <c r="I269">
        <v>0.11</v>
      </c>
      <c r="J269">
        <v>16</v>
      </c>
      <c r="K269">
        <v>5.7</v>
      </c>
      <c r="L269">
        <v>10.49</v>
      </c>
      <c r="M269">
        <v>24</v>
      </c>
      <c r="N269">
        <v>16</v>
      </c>
      <c r="O269">
        <v>5</v>
      </c>
      <c r="P269">
        <v>0</v>
      </c>
      <c r="Q269">
        <v>431</v>
      </c>
      <c r="R269" t="s">
        <v>23</v>
      </c>
      <c r="S269" t="s">
        <v>24</v>
      </c>
      <c r="T269">
        <v>1</v>
      </c>
      <c r="U269">
        <v>5780.81</v>
      </c>
    </row>
    <row r="270" spans="1:21" x14ac:dyDescent="0.35">
      <c r="A270">
        <v>8843</v>
      </c>
      <c r="B270">
        <v>26</v>
      </c>
      <c r="C270" t="s">
        <v>27</v>
      </c>
      <c r="D270">
        <v>124383</v>
      </c>
      <c r="E270" t="s">
        <v>22</v>
      </c>
      <c r="F270" t="s">
        <v>26</v>
      </c>
      <c r="G270">
        <v>208.19</v>
      </c>
      <c r="H270">
        <v>0.17</v>
      </c>
      <c r="I270">
        <v>0.01</v>
      </c>
      <c r="J270">
        <v>11</v>
      </c>
      <c r="K270">
        <v>7.72</v>
      </c>
      <c r="L270">
        <v>1.65</v>
      </c>
      <c r="M270">
        <v>28</v>
      </c>
      <c r="N270">
        <v>17</v>
      </c>
      <c r="O270">
        <v>7</v>
      </c>
      <c r="P270">
        <v>9</v>
      </c>
      <c r="Q270">
        <v>2309</v>
      </c>
      <c r="R270" t="s">
        <v>23</v>
      </c>
      <c r="S270" t="s">
        <v>24</v>
      </c>
      <c r="T270">
        <v>1</v>
      </c>
      <c r="U270">
        <v>208.19</v>
      </c>
    </row>
    <row r="271" spans="1:21" x14ac:dyDescent="0.35">
      <c r="A271">
        <v>8848</v>
      </c>
      <c r="B271">
        <v>30</v>
      </c>
      <c r="C271" t="s">
        <v>21</v>
      </c>
      <c r="D271">
        <v>56370</v>
      </c>
      <c r="E271" t="s">
        <v>29</v>
      </c>
      <c r="F271" t="s">
        <v>19</v>
      </c>
      <c r="G271">
        <v>206.81</v>
      </c>
      <c r="H271">
        <v>0.08</v>
      </c>
      <c r="I271">
        <v>0.06</v>
      </c>
      <c r="J271">
        <v>3</v>
      </c>
      <c r="K271">
        <v>9.75</v>
      </c>
      <c r="L271">
        <v>1.49</v>
      </c>
      <c r="M271">
        <v>62</v>
      </c>
      <c r="N271">
        <v>0</v>
      </c>
      <c r="O271">
        <v>8</v>
      </c>
      <c r="P271">
        <v>3</v>
      </c>
      <c r="Q271">
        <v>2684</v>
      </c>
      <c r="R271" t="s">
        <v>23</v>
      </c>
      <c r="S271" t="s">
        <v>24</v>
      </c>
      <c r="T271">
        <v>1</v>
      </c>
      <c r="U271">
        <v>206.81</v>
      </c>
    </row>
    <row r="272" spans="1:21" x14ac:dyDescent="0.35">
      <c r="A272">
        <v>8851</v>
      </c>
      <c r="B272">
        <v>66</v>
      </c>
      <c r="C272" t="s">
        <v>21</v>
      </c>
      <c r="D272">
        <v>137136</v>
      </c>
      <c r="E272" t="s">
        <v>31</v>
      </c>
      <c r="F272" t="s">
        <v>26</v>
      </c>
      <c r="G272">
        <v>3266.03</v>
      </c>
      <c r="H272">
        <v>0.12</v>
      </c>
      <c r="I272">
        <v>0.2</v>
      </c>
      <c r="J272">
        <v>19</v>
      </c>
      <c r="K272">
        <v>9.43</v>
      </c>
      <c r="L272">
        <v>7.2</v>
      </c>
      <c r="M272">
        <v>45</v>
      </c>
      <c r="N272">
        <v>2</v>
      </c>
      <c r="O272">
        <v>6</v>
      </c>
      <c r="P272">
        <v>9</v>
      </c>
      <c r="Q272">
        <v>1724</v>
      </c>
      <c r="R272" t="s">
        <v>23</v>
      </c>
      <c r="S272" t="s">
        <v>24</v>
      </c>
      <c r="T272">
        <v>1</v>
      </c>
      <c r="U272">
        <v>3266.03</v>
      </c>
    </row>
    <row r="273" spans="1:21" x14ac:dyDescent="0.35">
      <c r="A273">
        <v>8857</v>
      </c>
      <c r="B273">
        <v>25</v>
      </c>
      <c r="C273" t="s">
        <v>21</v>
      </c>
      <c r="D273">
        <v>25131</v>
      </c>
      <c r="E273" t="s">
        <v>31</v>
      </c>
      <c r="F273" t="s">
        <v>19</v>
      </c>
      <c r="G273">
        <v>2216.04</v>
      </c>
      <c r="H273">
        <v>0.27</v>
      </c>
      <c r="I273">
        <v>0.11</v>
      </c>
      <c r="J273">
        <v>14</v>
      </c>
      <c r="K273">
        <v>1.1000000000000001</v>
      </c>
      <c r="L273">
        <v>14.87</v>
      </c>
      <c r="M273">
        <v>61</v>
      </c>
      <c r="N273">
        <v>11</v>
      </c>
      <c r="O273">
        <v>4</v>
      </c>
      <c r="P273">
        <v>0</v>
      </c>
      <c r="Q273">
        <v>1048</v>
      </c>
      <c r="R273" t="s">
        <v>23</v>
      </c>
      <c r="S273" t="s">
        <v>24</v>
      </c>
      <c r="T273">
        <v>1</v>
      </c>
      <c r="U273">
        <v>2216.04</v>
      </c>
    </row>
    <row r="274" spans="1:21" x14ac:dyDescent="0.35">
      <c r="A274">
        <v>8861</v>
      </c>
      <c r="B274">
        <v>20</v>
      </c>
      <c r="C274" t="s">
        <v>27</v>
      </c>
      <c r="D274">
        <v>77371</v>
      </c>
      <c r="E274" t="s">
        <v>28</v>
      </c>
      <c r="F274" t="s">
        <v>26</v>
      </c>
      <c r="G274">
        <v>6019.38</v>
      </c>
      <c r="H274">
        <v>0.25</v>
      </c>
      <c r="I274">
        <v>0.14000000000000001</v>
      </c>
      <c r="J274">
        <v>5</v>
      </c>
      <c r="K274">
        <v>6.27</v>
      </c>
      <c r="L274">
        <v>13.34</v>
      </c>
      <c r="M274">
        <v>72</v>
      </c>
      <c r="N274">
        <v>9</v>
      </c>
      <c r="O274">
        <v>9</v>
      </c>
      <c r="P274">
        <v>5</v>
      </c>
      <c r="Q274">
        <v>1531</v>
      </c>
      <c r="R274" t="s">
        <v>23</v>
      </c>
      <c r="S274" t="s">
        <v>24</v>
      </c>
      <c r="T274">
        <v>1</v>
      </c>
      <c r="U274">
        <v>6019.38</v>
      </c>
    </row>
    <row r="275" spans="1:21" x14ac:dyDescent="0.35">
      <c r="A275">
        <v>8863</v>
      </c>
      <c r="B275">
        <v>29</v>
      </c>
      <c r="C275" t="s">
        <v>21</v>
      </c>
      <c r="D275">
        <v>99139</v>
      </c>
      <c r="E275" t="s">
        <v>22</v>
      </c>
      <c r="F275" t="s">
        <v>32</v>
      </c>
      <c r="G275">
        <v>4047.62</v>
      </c>
      <c r="H275">
        <v>0.19</v>
      </c>
      <c r="I275">
        <v>0.17</v>
      </c>
      <c r="J275">
        <v>31</v>
      </c>
      <c r="K275">
        <v>1.68</v>
      </c>
      <c r="L275">
        <v>1.39</v>
      </c>
      <c r="M275">
        <v>44</v>
      </c>
      <c r="N275">
        <v>14</v>
      </c>
      <c r="O275">
        <v>2</v>
      </c>
      <c r="P275">
        <v>5</v>
      </c>
      <c r="Q275">
        <v>726</v>
      </c>
      <c r="R275" t="s">
        <v>23</v>
      </c>
      <c r="S275" t="s">
        <v>24</v>
      </c>
      <c r="T275">
        <v>0</v>
      </c>
    </row>
    <row r="276" spans="1:21" x14ac:dyDescent="0.35">
      <c r="A276">
        <v>8864</v>
      </c>
      <c r="B276">
        <v>18</v>
      </c>
      <c r="C276" t="s">
        <v>27</v>
      </c>
      <c r="D276">
        <v>36246</v>
      </c>
      <c r="E276" t="s">
        <v>25</v>
      </c>
      <c r="F276" t="s">
        <v>19</v>
      </c>
      <c r="G276">
        <v>3094.99</v>
      </c>
      <c r="H276">
        <v>0.02</v>
      </c>
      <c r="I276">
        <v>0.04</v>
      </c>
      <c r="J276">
        <v>16</v>
      </c>
      <c r="K276">
        <v>8.27</v>
      </c>
      <c r="L276">
        <v>6.71</v>
      </c>
      <c r="M276">
        <v>84</v>
      </c>
      <c r="N276">
        <v>15</v>
      </c>
      <c r="O276">
        <v>3</v>
      </c>
      <c r="P276">
        <v>5</v>
      </c>
      <c r="Q276">
        <v>192</v>
      </c>
      <c r="R276" t="s">
        <v>23</v>
      </c>
      <c r="S276" t="s">
        <v>24</v>
      </c>
      <c r="T276">
        <v>1</v>
      </c>
      <c r="U276">
        <v>3094.99</v>
      </c>
    </row>
    <row r="277" spans="1:21" x14ac:dyDescent="0.35">
      <c r="A277">
        <v>8866</v>
      </c>
      <c r="B277">
        <v>22</v>
      </c>
      <c r="C277" t="s">
        <v>21</v>
      </c>
      <c r="D277">
        <v>61209</v>
      </c>
      <c r="E277" t="s">
        <v>28</v>
      </c>
      <c r="F277" t="s">
        <v>19</v>
      </c>
      <c r="G277">
        <v>6084.89</v>
      </c>
      <c r="H277">
        <v>0.27</v>
      </c>
      <c r="I277">
        <v>0.19</v>
      </c>
      <c r="J277">
        <v>38</v>
      </c>
      <c r="K277">
        <v>3.91</v>
      </c>
      <c r="L277">
        <v>6.87</v>
      </c>
      <c r="M277">
        <v>94</v>
      </c>
      <c r="N277">
        <v>12</v>
      </c>
      <c r="O277">
        <v>6</v>
      </c>
      <c r="P277">
        <v>7</v>
      </c>
      <c r="Q277">
        <v>2874</v>
      </c>
      <c r="R277" t="s">
        <v>23</v>
      </c>
      <c r="S277" t="s">
        <v>24</v>
      </c>
      <c r="T277">
        <v>1</v>
      </c>
      <c r="U277">
        <v>6084.89</v>
      </c>
    </row>
    <row r="278" spans="1:21" x14ac:dyDescent="0.35">
      <c r="A278">
        <v>8872</v>
      </c>
      <c r="B278">
        <v>40</v>
      </c>
      <c r="C278" t="s">
        <v>21</v>
      </c>
      <c r="D278">
        <v>148038</v>
      </c>
      <c r="E278" t="s">
        <v>28</v>
      </c>
      <c r="F278" t="s">
        <v>30</v>
      </c>
      <c r="G278">
        <v>5450.99</v>
      </c>
      <c r="H278">
        <v>0.28000000000000003</v>
      </c>
      <c r="I278">
        <v>0.03</v>
      </c>
      <c r="J278">
        <v>45</v>
      </c>
      <c r="K278">
        <v>3.47</v>
      </c>
      <c r="L278">
        <v>5.79</v>
      </c>
      <c r="M278">
        <v>54</v>
      </c>
      <c r="N278">
        <v>8</v>
      </c>
      <c r="O278">
        <v>0</v>
      </c>
      <c r="P278">
        <v>8</v>
      </c>
      <c r="Q278">
        <v>2412</v>
      </c>
      <c r="R278" t="s">
        <v>23</v>
      </c>
      <c r="S278" t="s">
        <v>24</v>
      </c>
      <c r="T278">
        <v>1</v>
      </c>
      <c r="U278">
        <v>5450.99</v>
      </c>
    </row>
    <row r="279" spans="1:21" x14ac:dyDescent="0.35">
      <c r="A279">
        <v>8876</v>
      </c>
      <c r="B279">
        <v>31</v>
      </c>
      <c r="C279" t="s">
        <v>21</v>
      </c>
      <c r="D279">
        <v>146560</v>
      </c>
      <c r="E279" t="s">
        <v>28</v>
      </c>
      <c r="F279" t="s">
        <v>26</v>
      </c>
      <c r="G279">
        <v>1030.3399999999999</v>
      </c>
      <c r="H279">
        <v>0.23</v>
      </c>
      <c r="I279">
        <v>0.12</v>
      </c>
      <c r="J279">
        <v>38</v>
      </c>
      <c r="K279">
        <v>6.31</v>
      </c>
      <c r="L279">
        <v>5.0599999999999996</v>
      </c>
      <c r="M279">
        <v>20</v>
      </c>
      <c r="N279">
        <v>9</v>
      </c>
      <c r="O279">
        <v>8</v>
      </c>
      <c r="P279">
        <v>9</v>
      </c>
      <c r="Q279">
        <v>3840</v>
      </c>
      <c r="R279" t="s">
        <v>23</v>
      </c>
      <c r="S279" t="s">
        <v>24</v>
      </c>
      <c r="T279">
        <v>1</v>
      </c>
      <c r="U279">
        <v>1030.3399999999999</v>
      </c>
    </row>
    <row r="280" spans="1:21" x14ac:dyDescent="0.35">
      <c r="A280">
        <v>8883</v>
      </c>
      <c r="B280">
        <v>55</v>
      </c>
      <c r="C280" t="s">
        <v>21</v>
      </c>
      <c r="D280">
        <v>24192</v>
      </c>
      <c r="E280" t="s">
        <v>28</v>
      </c>
      <c r="F280" t="s">
        <v>32</v>
      </c>
      <c r="G280">
        <v>3809.74</v>
      </c>
      <c r="H280">
        <v>0.27</v>
      </c>
      <c r="I280">
        <v>0.17</v>
      </c>
      <c r="J280">
        <v>1</v>
      </c>
      <c r="K280">
        <v>5.68</v>
      </c>
      <c r="L280">
        <v>9.39</v>
      </c>
      <c r="M280">
        <v>24</v>
      </c>
      <c r="N280">
        <v>19</v>
      </c>
      <c r="O280">
        <v>3</v>
      </c>
      <c r="P280">
        <v>3</v>
      </c>
      <c r="Q280">
        <v>1561</v>
      </c>
      <c r="R280" t="s">
        <v>23</v>
      </c>
      <c r="S280" t="s">
        <v>24</v>
      </c>
      <c r="T280">
        <v>1</v>
      </c>
      <c r="U280">
        <v>3809.74</v>
      </c>
    </row>
    <row r="281" spans="1:21" x14ac:dyDescent="0.35">
      <c r="A281">
        <v>8884</v>
      </c>
      <c r="B281">
        <v>67</v>
      </c>
      <c r="C281" t="s">
        <v>21</v>
      </c>
      <c r="D281">
        <v>36128</v>
      </c>
      <c r="E281" t="s">
        <v>25</v>
      </c>
      <c r="F281" t="s">
        <v>26</v>
      </c>
      <c r="G281">
        <v>3420.89</v>
      </c>
      <c r="H281">
        <v>0.17</v>
      </c>
      <c r="I281">
        <v>0.15</v>
      </c>
      <c r="J281">
        <v>11</v>
      </c>
      <c r="K281">
        <v>6.2</v>
      </c>
      <c r="L281">
        <v>5.6</v>
      </c>
      <c r="M281">
        <v>81</v>
      </c>
      <c r="N281">
        <v>17</v>
      </c>
      <c r="O281">
        <v>6</v>
      </c>
      <c r="P281">
        <v>9</v>
      </c>
      <c r="Q281">
        <v>1704</v>
      </c>
      <c r="R281" t="s">
        <v>23</v>
      </c>
      <c r="S281" t="s">
        <v>24</v>
      </c>
      <c r="T281">
        <v>1</v>
      </c>
      <c r="U281">
        <v>3420.89</v>
      </c>
    </row>
    <row r="282" spans="1:21" x14ac:dyDescent="0.35">
      <c r="A282">
        <v>8887</v>
      </c>
      <c r="B282">
        <v>47</v>
      </c>
      <c r="C282" t="s">
        <v>21</v>
      </c>
      <c r="D282">
        <v>137028</v>
      </c>
      <c r="E282" t="s">
        <v>29</v>
      </c>
      <c r="F282" t="s">
        <v>32</v>
      </c>
      <c r="G282">
        <v>1979.06</v>
      </c>
      <c r="H282">
        <v>0.17</v>
      </c>
      <c r="I282">
        <v>0.08</v>
      </c>
      <c r="J282">
        <v>7</v>
      </c>
      <c r="K282">
        <v>8.5299999999999994</v>
      </c>
      <c r="L282">
        <v>11.87</v>
      </c>
      <c r="M282">
        <v>88</v>
      </c>
      <c r="N282">
        <v>7</v>
      </c>
      <c r="O282">
        <v>0</v>
      </c>
      <c r="P282">
        <v>8</v>
      </c>
      <c r="Q282">
        <v>1197</v>
      </c>
      <c r="R282" t="s">
        <v>23</v>
      </c>
      <c r="S282" t="s">
        <v>24</v>
      </c>
      <c r="T282">
        <v>1</v>
      </c>
      <c r="U282">
        <v>1979.06</v>
      </c>
    </row>
    <row r="283" spans="1:21" x14ac:dyDescent="0.35">
      <c r="A283">
        <v>8889</v>
      </c>
      <c r="B283">
        <v>44</v>
      </c>
      <c r="C283" t="s">
        <v>21</v>
      </c>
      <c r="D283">
        <v>145176</v>
      </c>
      <c r="E283" t="s">
        <v>22</v>
      </c>
      <c r="F283" t="s">
        <v>32</v>
      </c>
      <c r="G283">
        <v>5401.64</v>
      </c>
      <c r="H283">
        <v>0.12</v>
      </c>
      <c r="I283">
        <v>0.02</v>
      </c>
      <c r="J283">
        <v>23</v>
      </c>
      <c r="K283">
        <v>2.59</v>
      </c>
      <c r="L283">
        <v>2</v>
      </c>
      <c r="M283">
        <v>97</v>
      </c>
      <c r="N283">
        <v>3</v>
      </c>
      <c r="O283">
        <v>2</v>
      </c>
      <c r="P283">
        <v>3</v>
      </c>
      <c r="Q283">
        <v>2733</v>
      </c>
      <c r="R283" t="s">
        <v>23</v>
      </c>
      <c r="S283" t="s">
        <v>24</v>
      </c>
      <c r="T283">
        <v>0</v>
      </c>
    </row>
    <row r="284" spans="1:21" x14ac:dyDescent="0.35">
      <c r="A284">
        <v>8891</v>
      </c>
      <c r="B284">
        <v>51</v>
      </c>
      <c r="C284" t="s">
        <v>21</v>
      </c>
      <c r="D284">
        <v>42778</v>
      </c>
      <c r="E284" t="s">
        <v>22</v>
      </c>
      <c r="F284" t="s">
        <v>32</v>
      </c>
      <c r="G284">
        <v>1761.02</v>
      </c>
      <c r="H284">
        <v>0.28000000000000003</v>
      </c>
      <c r="I284">
        <v>0.06</v>
      </c>
      <c r="J284">
        <v>24</v>
      </c>
      <c r="K284">
        <v>3.5</v>
      </c>
      <c r="L284">
        <v>8.18</v>
      </c>
      <c r="M284">
        <v>47</v>
      </c>
      <c r="N284">
        <v>15</v>
      </c>
      <c r="O284">
        <v>3</v>
      </c>
      <c r="P284">
        <v>9</v>
      </c>
      <c r="Q284">
        <v>1497</v>
      </c>
      <c r="R284" t="s">
        <v>23</v>
      </c>
      <c r="S284" t="s">
        <v>24</v>
      </c>
      <c r="T284">
        <v>1</v>
      </c>
      <c r="U284">
        <v>1761.02</v>
      </c>
    </row>
    <row r="285" spans="1:21" x14ac:dyDescent="0.35">
      <c r="A285">
        <v>8893</v>
      </c>
      <c r="B285">
        <v>55</v>
      </c>
      <c r="C285" t="s">
        <v>21</v>
      </c>
      <c r="D285">
        <v>36708</v>
      </c>
      <c r="E285" t="s">
        <v>25</v>
      </c>
      <c r="F285" t="s">
        <v>30</v>
      </c>
      <c r="G285">
        <v>4582.03</v>
      </c>
      <c r="H285">
        <v>0.18</v>
      </c>
      <c r="I285">
        <v>0.04</v>
      </c>
      <c r="J285">
        <v>13</v>
      </c>
      <c r="K285">
        <v>3.03</v>
      </c>
      <c r="L285">
        <v>10.9</v>
      </c>
      <c r="M285">
        <v>2</v>
      </c>
      <c r="N285">
        <v>17</v>
      </c>
      <c r="O285">
        <v>4</v>
      </c>
      <c r="P285">
        <v>7</v>
      </c>
      <c r="Q285">
        <v>1536</v>
      </c>
      <c r="R285" t="s">
        <v>23</v>
      </c>
      <c r="S285" t="s">
        <v>24</v>
      </c>
      <c r="T285">
        <v>1</v>
      </c>
      <c r="U285">
        <v>4582.03</v>
      </c>
    </row>
    <row r="286" spans="1:21" x14ac:dyDescent="0.35">
      <c r="A286">
        <v>8897</v>
      </c>
      <c r="B286">
        <v>47</v>
      </c>
      <c r="C286" t="s">
        <v>27</v>
      </c>
      <c r="D286">
        <v>59412</v>
      </c>
      <c r="E286" t="s">
        <v>31</v>
      </c>
      <c r="F286" t="s">
        <v>30</v>
      </c>
      <c r="G286">
        <v>5158.08</v>
      </c>
      <c r="H286">
        <v>7.0000000000000007E-2</v>
      </c>
      <c r="I286">
        <v>0.17</v>
      </c>
      <c r="J286">
        <v>31</v>
      </c>
      <c r="K286">
        <v>5.41</v>
      </c>
      <c r="L286">
        <v>7.3</v>
      </c>
      <c r="M286">
        <v>19</v>
      </c>
      <c r="N286">
        <v>0</v>
      </c>
      <c r="O286">
        <v>3</v>
      </c>
      <c r="P286">
        <v>0</v>
      </c>
      <c r="Q286">
        <v>4965</v>
      </c>
      <c r="R286" t="s">
        <v>23</v>
      </c>
      <c r="S286" t="s">
        <v>24</v>
      </c>
      <c r="T286">
        <v>1</v>
      </c>
      <c r="U286">
        <v>5158.08</v>
      </c>
    </row>
    <row r="287" spans="1:21" x14ac:dyDescent="0.35">
      <c r="A287">
        <v>8899</v>
      </c>
      <c r="B287">
        <v>68</v>
      </c>
      <c r="C287" t="s">
        <v>27</v>
      </c>
      <c r="D287">
        <v>81196</v>
      </c>
      <c r="E287" t="s">
        <v>28</v>
      </c>
      <c r="F287" t="s">
        <v>30</v>
      </c>
      <c r="G287">
        <v>4604.62</v>
      </c>
      <c r="H287">
        <v>0.19</v>
      </c>
      <c r="I287">
        <v>0.08</v>
      </c>
      <c r="J287">
        <v>20</v>
      </c>
      <c r="K287">
        <v>9.7799999999999994</v>
      </c>
      <c r="L287">
        <v>9.14</v>
      </c>
      <c r="M287">
        <v>80</v>
      </c>
      <c r="N287">
        <v>0</v>
      </c>
      <c r="O287">
        <v>3</v>
      </c>
      <c r="P287">
        <v>3</v>
      </c>
      <c r="Q287">
        <v>3062</v>
      </c>
      <c r="R287" t="s">
        <v>23</v>
      </c>
      <c r="S287" t="s">
        <v>24</v>
      </c>
      <c r="T287">
        <v>1</v>
      </c>
      <c r="U287">
        <v>4604.62</v>
      </c>
    </row>
    <row r="288" spans="1:21" x14ac:dyDescent="0.35">
      <c r="A288">
        <v>8903</v>
      </c>
      <c r="B288">
        <v>21</v>
      </c>
      <c r="C288" t="s">
        <v>27</v>
      </c>
      <c r="D288">
        <v>89434</v>
      </c>
      <c r="E288" t="s">
        <v>25</v>
      </c>
      <c r="F288" t="s">
        <v>19</v>
      </c>
      <c r="G288">
        <v>8908.1299999999992</v>
      </c>
      <c r="H288">
        <v>0.13</v>
      </c>
      <c r="I288">
        <v>0.17</v>
      </c>
      <c r="J288">
        <v>28</v>
      </c>
      <c r="K288">
        <v>9.59</v>
      </c>
      <c r="L288">
        <v>10.85</v>
      </c>
      <c r="M288">
        <v>97</v>
      </c>
      <c r="N288">
        <v>2</v>
      </c>
      <c r="O288">
        <v>6</v>
      </c>
      <c r="P288">
        <v>4</v>
      </c>
      <c r="Q288">
        <v>844</v>
      </c>
      <c r="R288" t="s">
        <v>23</v>
      </c>
      <c r="S288" t="s">
        <v>24</v>
      </c>
      <c r="T288">
        <v>1</v>
      </c>
      <c r="U288">
        <v>8908.1299999999992</v>
      </c>
    </row>
    <row r="289" spans="1:21" x14ac:dyDescent="0.35">
      <c r="A289">
        <v>8904</v>
      </c>
      <c r="B289">
        <v>27</v>
      </c>
      <c r="C289" t="s">
        <v>21</v>
      </c>
      <c r="D289">
        <v>102755</v>
      </c>
      <c r="E289" t="s">
        <v>25</v>
      </c>
      <c r="F289" t="s">
        <v>32</v>
      </c>
      <c r="G289">
        <v>2067.65</v>
      </c>
      <c r="H289">
        <v>0.25</v>
      </c>
      <c r="I289">
        <v>0.1</v>
      </c>
      <c r="J289">
        <v>22</v>
      </c>
      <c r="K289">
        <v>8.7799999999999994</v>
      </c>
      <c r="L289">
        <v>11.99</v>
      </c>
      <c r="M289">
        <v>79</v>
      </c>
      <c r="N289">
        <v>17</v>
      </c>
      <c r="O289">
        <v>2</v>
      </c>
      <c r="P289">
        <v>9</v>
      </c>
      <c r="Q289">
        <v>1403</v>
      </c>
      <c r="R289" t="s">
        <v>23</v>
      </c>
      <c r="S289" t="s">
        <v>24</v>
      </c>
      <c r="T289">
        <v>1</v>
      </c>
      <c r="U289">
        <v>2067.65</v>
      </c>
    </row>
    <row r="290" spans="1:21" x14ac:dyDescent="0.35">
      <c r="A290">
        <v>8906</v>
      </c>
      <c r="B290">
        <v>27</v>
      </c>
      <c r="C290" t="s">
        <v>21</v>
      </c>
      <c r="D290">
        <v>55546</v>
      </c>
      <c r="E290" t="s">
        <v>22</v>
      </c>
      <c r="F290" t="s">
        <v>30</v>
      </c>
      <c r="G290">
        <v>3560.56</v>
      </c>
      <c r="H290">
        <v>7.0000000000000007E-2</v>
      </c>
      <c r="I290">
        <v>0.13</v>
      </c>
      <c r="J290">
        <v>20</v>
      </c>
      <c r="K290">
        <v>4.1500000000000004</v>
      </c>
      <c r="L290">
        <v>6.62</v>
      </c>
      <c r="M290">
        <v>71</v>
      </c>
      <c r="N290">
        <v>5</v>
      </c>
      <c r="O290">
        <v>2</v>
      </c>
      <c r="P290">
        <v>2</v>
      </c>
      <c r="Q290">
        <v>2618</v>
      </c>
      <c r="R290" t="s">
        <v>23</v>
      </c>
      <c r="S290" t="s">
        <v>24</v>
      </c>
      <c r="T290">
        <v>1</v>
      </c>
      <c r="U290">
        <v>3560.56</v>
      </c>
    </row>
    <row r="291" spans="1:21" x14ac:dyDescent="0.35">
      <c r="A291">
        <v>8910</v>
      </c>
      <c r="B291">
        <v>22</v>
      </c>
      <c r="C291" t="s">
        <v>21</v>
      </c>
      <c r="D291">
        <v>144556</v>
      </c>
      <c r="E291" t="s">
        <v>25</v>
      </c>
      <c r="F291" t="s">
        <v>26</v>
      </c>
      <c r="G291">
        <v>8461.01</v>
      </c>
      <c r="H291">
        <v>0.17</v>
      </c>
      <c r="I291">
        <v>0.1</v>
      </c>
      <c r="J291">
        <v>34</v>
      </c>
      <c r="K291">
        <v>5.81</v>
      </c>
      <c r="L291">
        <v>13.23</v>
      </c>
      <c r="M291">
        <v>37</v>
      </c>
      <c r="N291">
        <v>10</v>
      </c>
      <c r="O291">
        <v>3</v>
      </c>
      <c r="P291">
        <v>2</v>
      </c>
      <c r="Q291">
        <v>4963</v>
      </c>
      <c r="R291" t="s">
        <v>23</v>
      </c>
      <c r="S291" t="s">
        <v>24</v>
      </c>
      <c r="T291">
        <v>1</v>
      </c>
      <c r="U291">
        <v>8461.01</v>
      </c>
    </row>
    <row r="292" spans="1:21" x14ac:dyDescent="0.35">
      <c r="A292">
        <v>8911</v>
      </c>
      <c r="B292">
        <v>51</v>
      </c>
      <c r="C292" t="s">
        <v>27</v>
      </c>
      <c r="D292">
        <v>98059</v>
      </c>
      <c r="E292" t="s">
        <v>22</v>
      </c>
      <c r="F292" t="s">
        <v>19</v>
      </c>
      <c r="G292">
        <v>2934.07</v>
      </c>
      <c r="H292">
        <v>0.23</v>
      </c>
      <c r="I292">
        <v>0.09</v>
      </c>
      <c r="J292">
        <v>4</v>
      </c>
      <c r="K292">
        <v>3.63</v>
      </c>
      <c r="L292">
        <v>2.75</v>
      </c>
      <c r="M292">
        <v>63</v>
      </c>
      <c r="N292">
        <v>4</v>
      </c>
      <c r="O292">
        <v>2</v>
      </c>
      <c r="P292">
        <v>2</v>
      </c>
      <c r="Q292">
        <v>506</v>
      </c>
      <c r="R292" t="s">
        <v>23</v>
      </c>
      <c r="S292" t="s">
        <v>24</v>
      </c>
      <c r="T292">
        <v>0</v>
      </c>
    </row>
    <row r="293" spans="1:21" x14ac:dyDescent="0.35">
      <c r="A293">
        <v>8914</v>
      </c>
      <c r="B293">
        <v>30</v>
      </c>
      <c r="C293" t="s">
        <v>21</v>
      </c>
      <c r="D293">
        <v>42030</v>
      </c>
      <c r="E293" t="s">
        <v>28</v>
      </c>
      <c r="F293" t="s">
        <v>26</v>
      </c>
      <c r="G293">
        <v>2032.02</v>
      </c>
      <c r="H293">
        <v>0.17</v>
      </c>
      <c r="I293">
        <v>0.15</v>
      </c>
      <c r="J293">
        <v>6</v>
      </c>
      <c r="K293">
        <v>3.7</v>
      </c>
      <c r="L293">
        <v>1.99</v>
      </c>
      <c r="M293">
        <v>91</v>
      </c>
      <c r="N293">
        <v>0</v>
      </c>
      <c r="O293">
        <v>5</v>
      </c>
      <c r="P293">
        <v>0</v>
      </c>
      <c r="Q293">
        <v>2999</v>
      </c>
      <c r="R293" t="s">
        <v>23</v>
      </c>
      <c r="S293" t="s">
        <v>24</v>
      </c>
      <c r="T293">
        <v>0</v>
      </c>
    </row>
    <row r="294" spans="1:21" x14ac:dyDescent="0.35">
      <c r="A294">
        <v>8916</v>
      </c>
      <c r="B294">
        <v>60</v>
      </c>
      <c r="C294" t="s">
        <v>27</v>
      </c>
      <c r="D294">
        <v>60376</v>
      </c>
      <c r="E294" t="s">
        <v>31</v>
      </c>
      <c r="F294" t="s">
        <v>26</v>
      </c>
      <c r="G294">
        <v>1034.8399999999999</v>
      </c>
      <c r="H294">
        <v>0.26</v>
      </c>
      <c r="I294">
        <v>7.0000000000000007E-2</v>
      </c>
      <c r="J294">
        <v>16</v>
      </c>
      <c r="K294">
        <v>7.96</v>
      </c>
      <c r="L294">
        <v>5.98</v>
      </c>
      <c r="M294">
        <v>60</v>
      </c>
      <c r="N294">
        <v>17</v>
      </c>
      <c r="O294">
        <v>3</v>
      </c>
      <c r="P294">
        <v>8</v>
      </c>
      <c r="Q294">
        <v>974</v>
      </c>
      <c r="R294" t="s">
        <v>23</v>
      </c>
      <c r="S294" t="s">
        <v>24</v>
      </c>
      <c r="T294">
        <v>1</v>
      </c>
      <c r="U294">
        <v>1034.8399999999999</v>
      </c>
    </row>
    <row r="295" spans="1:21" x14ac:dyDescent="0.35">
      <c r="A295">
        <v>8921</v>
      </c>
      <c r="B295">
        <v>40</v>
      </c>
      <c r="C295" t="s">
        <v>21</v>
      </c>
      <c r="D295">
        <v>129518</v>
      </c>
      <c r="E295" t="s">
        <v>22</v>
      </c>
      <c r="F295" t="s">
        <v>19</v>
      </c>
      <c r="G295">
        <v>4520.92</v>
      </c>
      <c r="H295">
        <v>0.14000000000000001</v>
      </c>
      <c r="I295">
        <v>0.08</v>
      </c>
      <c r="J295">
        <v>15</v>
      </c>
      <c r="K295">
        <v>6.66</v>
      </c>
      <c r="L295">
        <v>2.4</v>
      </c>
      <c r="M295">
        <v>49</v>
      </c>
      <c r="N295">
        <v>19</v>
      </c>
      <c r="O295">
        <v>2</v>
      </c>
      <c r="P295">
        <v>3</v>
      </c>
      <c r="Q295">
        <v>2701</v>
      </c>
      <c r="R295" t="s">
        <v>23</v>
      </c>
      <c r="S295" t="s">
        <v>24</v>
      </c>
      <c r="T295">
        <v>1</v>
      </c>
      <c r="U295">
        <v>4520.92</v>
      </c>
    </row>
    <row r="296" spans="1:21" x14ac:dyDescent="0.35">
      <c r="A296">
        <v>8925</v>
      </c>
      <c r="B296">
        <v>33</v>
      </c>
      <c r="C296" t="s">
        <v>27</v>
      </c>
      <c r="D296">
        <v>107508</v>
      </c>
      <c r="E296" t="s">
        <v>31</v>
      </c>
      <c r="F296" t="s">
        <v>19</v>
      </c>
      <c r="G296">
        <v>1006.39</v>
      </c>
      <c r="H296">
        <v>0.2</v>
      </c>
      <c r="I296">
        <v>0.16</v>
      </c>
      <c r="J296">
        <v>45</v>
      </c>
      <c r="K296">
        <v>7.34</v>
      </c>
      <c r="L296">
        <v>2.59</v>
      </c>
      <c r="M296">
        <v>10</v>
      </c>
      <c r="N296">
        <v>4</v>
      </c>
      <c r="O296">
        <v>4</v>
      </c>
      <c r="P296">
        <v>9</v>
      </c>
      <c r="Q296">
        <v>1418</v>
      </c>
      <c r="R296" t="s">
        <v>23</v>
      </c>
      <c r="S296" t="s">
        <v>24</v>
      </c>
      <c r="T296">
        <v>1</v>
      </c>
      <c r="U296">
        <v>1006.39</v>
      </c>
    </row>
    <row r="297" spans="1:21" x14ac:dyDescent="0.35">
      <c r="A297">
        <v>8926</v>
      </c>
      <c r="B297">
        <v>25</v>
      </c>
      <c r="C297" t="s">
        <v>27</v>
      </c>
      <c r="D297">
        <v>45493</v>
      </c>
      <c r="E297" t="s">
        <v>29</v>
      </c>
      <c r="F297" t="s">
        <v>32</v>
      </c>
      <c r="G297">
        <v>9580.33</v>
      </c>
      <c r="H297">
        <v>0.18</v>
      </c>
      <c r="I297">
        <v>0.11</v>
      </c>
      <c r="J297">
        <v>7</v>
      </c>
      <c r="K297">
        <v>4.21</v>
      </c>
      <c r="L297">
        <v>3.87</v>
      </c>
      <c r="M297">
        <v>37</v>
      </c>
      <c r="N297">
        <v>11</v>
      </c>
      <c r="O297">
        <v>6</v>
      </c>
      <c r="P297">
        <v>2</v>
      </c>
      <c r="Q297">
        <v>3157</v>
      </c>
      <c r="R297" t="s">
        <v>23</v>
      </c>
      <c r="S297" t="s">
        <v>24</v>
      </c>
      <c r="T297">
        <v>1</v>
      </c>
      <c r="U297">
        <v>9580.33</v>
      </c>
    </row>
    <row r="298" spans="1:21" x14ac:dyDescent="0.35">
      <c r="A298">
        <v>8927</v>
      </c>
      <c r="B298">
        <v>21</v>
      </c>
      <c r="C298" t="s">
        <v>21</v>
      </c>
      <c r="D298">
        <v>94861</v>
      </c>
      <c r="E298" t="s">
        <v>28</v>
      </c>
      <c r="F298" t="s">
        <v>19</v>
      </c>
      <c r="G298">
        <v>6689.07</v>
      </c>
      <c r="H298">
        <v>0.18</v>
      </c>
      <c r="I298">
        <v>0.16</v>
      </c>
      <c r="J298">
        <v>28</v>
      </c>
      <c r="K298">
        <v>6.34</v>
      </c>
      <c r="L298">
        <v>5.88</v>
      </c>
      <c r="M298">
        <v>55</v>
      </c>
      <c r="N298">
        <v>12</v>
      </c>
      <c r="O298">
        <v>8</v>
      </c>
      <c r="P298">
        <v>1</v>
      </c>
      <c r="Q298">
        <v>3170</v>
      </c>
      <c r="R298" t="s">
        <v>23</v>
      </c>
      <c r="S298" t="s">
        <v>24</v>
      </c>
      <c r="T298">
        <v>1</v>
      </c>
      <c r="U298">
        <v>6689.07</v>
      </c>
    </row>
    <row r="299" spans="1:21" x14ac:dyDescent="0.35">
      <c r="A299">
        <v>8931</v>
      </c>
      <c r="B299">
        <v>20</v>
      </c>
      <c r="C299" t="s">
        <v>21</v>
      </c>
      <c r="D299">
        <v>56775</v>
      </c>
      <c r="E299" t="s">
        <v>28</v>
      </c>
      <c r="F299" t="s">
        <v>19</v>
      </c>
      <c r="G299">
        <v>6008.32</v>
      </c>
      <c r="H299">
        <v>0.06</v>
      </c>
      <c r="I299">
        <v>0.06</v>
      </c>
      <c r="J299">
        <v>15</v>
      </c>
      <c r="K299">
        <v>8.3699999999999992</v>
      </c>
      <c r="L299">
        <v>1.1200000000000001</v>
      </c>
      <c r="M299">
        <v>69</v>
      </c>
      <c r="N299">
        <v>3</v>
      </c>
      <c r="O299">
        <v>2</v>
      </c>
      <c r="P299">
        <v>7</v>
      </c>
      <c r="Q299">
        <v>3277</v>
      </c>
      <c r="R299" t="s">
        <v>23</v>
      </c>
      <c r="S299" t="s">
        <v>24</v>
      </c>
      <c r="T299">
        <v>1</v>
      </c>
      <c r="U299">
        <v>6008.32</v>
      </c>
    </row>
    <row r="300" spans="1:21" x14ac:dyDescent="0.35">
      <c r="A300">
        <v>8933</v>
      </c>
      <c r="B300">
        <v>20</v>
      </c>
      <c r="C300" t="s">
        <v>21</v>
      </c>
      <c r="D300">
        <v>105909</v>
      </c>
      <c r="E300" t="s">
        <v>22</v>
      </c>
      <c r="F300" t="s">
        <v>30</v>
      </c>
      <c r="G300">
        <v>7360.72</v>
      </c>
      <c r="H300">
        <v>0.05</v>
      </c>
      <c r="I300">
        <v>0.19</v>
      </c>
      <c r="J300">
        <v>21</v>
      </c>
      <c r="K300">
        <v>8.3000000000000007</v>
      </c>
      <c r="L300">
        <v>10.91</v>
      </c>
      <c r="M300">
        <v>89</v>
      </c>
      <c r="N300">
        <v>17</v>
      </c>
      <c r="O300">
        <v>3</v>
      </c>
      <c r="P300">
        <v>5</v>
      </c>
      <c r="Q300">
        <v>4504</v>
      </c>
      <c r="R300" t="s">
        <v>23</v>
      </c>
      <c r="S300" t="s">
        <v>24</v>
      </c>
      <c r="T300">
        <v>1</v>
      </c>
      <c r="U300">
        <v>7360.72</v>
      </c>
    </row>
    <row r="301" spans="1:21" x14ac:dyDescent="0.35">
      <c r="A301">
        <v>8938</v>
      </c>
      <c r="B301">
        <v>68</v>
      </c>
      <c r="C301" t="s">
        <v>27</v>
      </c>
      <c r="D301">
        <v>142402</v>
      </c>
      <c r="E301" t="s">
        <v>25</v>
      </c>
      <c r="F301" t="s">
        <v>32</v>
      </c>
      <c r="G301">
        <v>3890.34</v>
      </c>
      <c r="H301">
        <v>0.2</v>
      </c>
      <c r="I301">
        <v>0.09</v>
      </c>
      <c r="J301">
        <v>49</v>
      </c>
      <c r="K301">
        <v>8.67</v>
      </c>
      <c r="L301">
        <v>13.49</v>
      </c>
      <c r="M301">
        <v>80</v>
      </c>
      <c r="N301">
        <v>9</v>
      </c>
      <c r="O301">
        <v>7</v>
      </c>
      <c r="P301">
        <v>2</v>
      </c>
      <c r="Q301">
        <v>1573</v>
      </c>
      <c r="R301" t="s">
        <v>23</v>
      </c>
      <c r="S301" t="s">
        <v>24</v>
      </c>
      <c r="T301">
        <v>1</v>
      </c>
      <c r="U301">
        <v>3890.34</v>
      </c>
    </row>
    <row r="302" spans="1:21" x14ac:dyDescent="0.35">
      <c r="A302">
        <v>8949</v>
      </c>
      <c r="B302">
        <v>22</v>
      </c>
      <c r="C302" t="s">
        <v>21</v>
      </c>
      <c r="D302">
        <v>27014</v>
      </c>
      <c r="E302" t="s">
        <v>25</v>
      </c>
      <c r="F302" t="s">
        <v>26</v>
      </c>
      <c r="G302">
        <v>6980.12</v>
      </c>
      <c r="H302">
        <v>7.0000000000000007E-2</v>
      </c>
      <c r="I302">
        <v>0.1</v>
      </c>
      <c r="J302">
        <v>32</v>
      </c>
      <c r="K302">
        <v>6.63</v>
      </c>
      <c r="L302">
        <v>8.52</v>
      </c>
      <c r="M302">
        <v>47</v>
      </c>
      <c r="N302">
        <v>18</v>
      </c>
      <c r="O302">
        <v>1</v>
      </c>
      <c r="P302">
        <v>9</v>
      </c>
      <c r="Q302">
        <v>3317</v>
      </c>
      <c r="R302" t="s">
        <v>23</v>
      </c>
      <c r="S302" t="s">
        <v>24</v>
      </c>
      <c r="T302">
        <v>1</v>
      </c>
      <c r="U302">
        <v>6980.12</v>
      </c>
    </row>
    <row r="303" spans="1:21" x14ac:dyDescent="0.35">
      <c r="A303">
        <v>8952</v>
      </c>
      <c r="B303">
        <v>43</v>
      </c>
      <c r="C303" t="s">
        <v>27</v>
      </c>
      <c r="D303">
        <v>136045</v>
      </c>
      <c r="E303" t="s">
        <v>22</v>
      </c>
      <c r="F303" t="s">
        <v>26</v>
      </c>
      <c r="G303">
        <v>5990.81</v>
      </c>
      <c r="H303">
        <v>0.23</v>
      </c>
      <c r="I303">
        <v>0.11</v>
      </c>
      <c r="J303">
        <v>33</v>
      </c>
      <c r="K303">
        <v>1.85</v>
      </c>
      <c r="L303">
        <v>7.83</v>
      </c>
      <c r="M303">
        <v>46</v>
      </c>
      <c r="N303">
        <v>12</v>
      </c>
      <c r="O303">
        <v>0</v>
      </c>
      <c r="P303">
        <v>7</v>
      </c>
      <c r="Q303">
        <v>3280</v>
      </c>
      <c r="R303" t="s">
        <v>23</v>
      </c>
      <c r="S303" t="s">
        <v>24</v>
      </c>
      <c r="T303">
        <v>1</v>
      </c>
      <c r="U303">
        <v>5990.81</v>
      </c>
    </row>
    <row r="304" spans="1:21" x14ac:dyDescent="0.35">
      <c r="A304">
        <v>8957</v>
      </c>
      <c r="B304">
        <v>43</v>
      </c>
      <c r="C304" t="s">
        <v>21</v>
      </c>
      <c r="D304">
        <v>149067</v>
      </c>
      <c r="E304" t="s">
        <v>29</v>
      </c>
      <c r="F304" t="s">
        <v>19</v>
      </c>
      <c r="G304">
        <v>6800.08</v>
      </c>
      <c r="H304">
        <v>0.11</v>
      </c>
      <c r="I304">
        <v>0.04</v>
      </c>
      <c r="J304">
        <v>14</v>
      </c>
      <c r="K304">
        <v>3.59</v>
      </c>
      <c r="L304">
        <v>11.35</v>
      </c>
      <c r="M304">
        <v>33</v>
      </c>
      <c r="N304">
        <v>8</v>
      </c>
      <c r="O304">
        <v>0</v>
      </c>
      <c r="P304">
        <v>7</v>
      </c>
      <c r="Q304">
        <v>728</v>
      </c>
      <c r="R304" t="s">
        <v>23</v>
      </c>
      <c r="S304" t="s">
        <v>24</v>
      </c>
      <c r="T304">
        <v>1</v>
      </c>
      <c r="U304">
        <v>6800.08</v>
      </c>
    </row>
    <row r="305" spans="1:21" x14ac:dyDescent="0.35">
      <c r="A305">
        <v>8960</v>
      </c>
      <c r="B305">
        <v>26</v>
      </c>
      <c r="C305" t="s">
        <v>27</v>
      </c>
      <c r="D305">
        <v>28219</v>
      </c>
      <c r="E305" t="s">
        <v>25</v>
      </c>
      <c r="F305" t="s">
        <v>26</v>
      </c>
      <c r="G305">
        <v>6104.36</v>
      </c>
      <c r="H305">
        <v>0.15</v>
      </c>
      <c r="I305">
        <v>0.19</v>
      </c>
      <c r="J305">
        <v>20</v>
      </c>
      <c r="K305">
        <v>6.32</v>
      </c>
      <c r="L305">
        <v>5.79</v>
      </c>
      <c r="M305">
        <v>84</v>
      </c>
      <c r="N305">
        <v>18</v>
      </c>
      <c r="O305">
        <v>3</v>
      </c>
      <c r="P305">
        <v>4</v>
      </c>
      <c r="Q305">
        <v>2151</v>
      </c>
      <c r="R305" t="s">
        <v>23</v>
      </c>
      <c r="S305" t="s">
        <v>24</v>
      </c>
      <c r="T305">
        <v>1</v>
      </c>
      <c r="U305">
        <v>6104.36</v>
      </c>
    </row>
    <row r="306" spans="1:21" x14ac:dyDescent="0.35">
      <c r="A306">
        <v>8963</v>
      </c>
      <c r="B306">
        <v>39</v>
      </c>
      <c r="C306" t="s">
        <v>21</v>
      </c>
      <c r="D306">
        <v>129034</v>
      </c>
      <c r="E306" t="s">
        <v>29</v>
      </c>
      <c r="F306" t="s">
        <v>30</v>
      </c>
      <c r="G306">
        <v>3863.08</v>
      </c>
      <c r="H306">
        <v>0.05</v>
      </c>
      <c r="I306">
        <v>0.15</v>
      </c>
      <c r="J306">
        <v>2</v>
      </c>
      <c r="K306">
        <v>9.39</v>
      </c>
      <c r="L306">
        <v>2.11</v>
      </c>
      <c r="M306">
        <v>41</v>
      </c>
      <c r="N306">
        <v>8</v>
      </c>
      <c r="O306">
        <v>8</v>
      </c>
      <c r="P306">
        <v>1</v>
      </c>
      <c r="Q306">
        <v>3348</v>
      </c>
      <c r="R306" t="s">
        <v>23</v>
      </c>
      <c r="S306" t="s">
        <v>24</v>
      </c>
      <c r="T306">
        <v>0</v>
      </c>
    </row>
    <row r="307" spans="1:21" x14ac:dyDescent="0.35">
      <c r="A307">
        <v>8965</v>
      </c>
      <c r="B307">
        <v>47</v>
      </c>
      <c r="C307" t="s">
        <v>21</v>
      </c>
      <c r="D307">
        <v>39276</v>
      </c>
      <c r="E307" t="s">
        <v>22</v>
      </c>
      <c r="F307" t="s">
        <v>32</v>
      </c>
      <c r="G307">
        <v>9880.92</v>
      </c>
      <c r="H307">
        <v>0.25</v>
      </c>
      <c r="I307">
        <v>0.12</v>
      </c>
      <c r="J307">
        <v>20</v>
      </c>
      <c r="K307">
        <v>3.22</v>
      </c>
      <c r="L307">
        <v>12.03</v>
      </c>
      <c r="M307">
        <v>68</v>
      </c>
      <c r="N307">
        <v>10</v>
      </c>
      <c r="O307">
        <v>7</v>
      </c>
      <c r="P307">
        <v>4</v>
      </c>
      <c r="Q307">
        <v>3115</v>
      </c>
      <c r="R307" t="s">
        <v>23</v>
      </c>
      <c r="S307" t="s">
        <v>24</v>
      </c>
      <c r="T307">
        <v>1</v>
      </c>
      <c r="U307">
        <v>9880.92</v>
      </c>
    </row>
    <row r="308" spans="1:21" x14ac:dyDescent="0.35">
      <c r="A308">
        <v>8973</v>
      </c>
      <c r="B308">
        <v>66</v>
      </c>
      <c r="C308" t="s">
        <v>27</v>
      </c>
      <c r="D308">
        <v>116487</v>
      </c>
      <c r="E308" t="s">
        <v>28</v>
      </c>
      <c r="F308" t="s">
        <v>32</v>
      </c>
      <c r="G308">
        <v>5062.99</v>
      </c>
      <c r="H308">
        <v>0.08</v>
      </c>
      <c r="I308">
        <v>0.15</v>
      </c>
      <c r="J308">
        <v>19</v>
      </c>
      <c r="K308">
        <v>8.08</v>
      </c>
      <c r="L308">
        <v>2.73</v>
      </c>
      <c r="M308">
        <v>67</v>
      </c>
      <c r="N308">
        <v>19</v>
      </c>
      <c r="O308">
        <v>9</v>
      </c>
      <c r="P308">
        <v>4</v>
      </c>
      <c r="Q308">
        <v>3240</v>
      </c>
      <c r="R308" t="s">
        <v>23</v>
      </c>
      <c r="S308" t="s">
        <v>24</v>
      </c>
      <c r="T308">
        <v>1</v>
      </c>
      <c r="U308">
        <v>5062.99</v>
      </c>
    </row>
    <row r="309" spans="1:21" x14ac:dyDescent="0.35">
      <c r="A309">
        <v>8980</v>
      </c>
      <c r="B309">
        <v>43</v>
      </c>
      <c r="C309" t="s">
        <v>21</v>
      </c>
      <c r="D309">
        <v>45412</v>
      </c>
      <c r="E309" t="s">
        <v>29</v>
      </c>
      <c r="F309" t="s">
        <v>19</v>
      </c>
      <c r="G309">
        <v>4083.44</v>
      </c>
      <c r="H309">
        <v>0.19</v>
      </c>
      <c r="I309">
        <v>0.17</v>
      </c>
      <c r="J309">
        <v>44</v>
      </c>
      <c r="K309">
        <v>9.85</v>
      </c>
      <c r="L309">
        <v>3.73</v>
      </c>
      <c r="M309">
        <v>55</v>
      </c>
      <c r="N309">
        <v>5</v>
      </c>
      <c r="O309">
        <v>4</v>
      </c>
      <c r="P309">
        <v>1</v>
      </c>
      <c r="Q309">
        <v>1391</v>
      </c>
      <c r="R309" t="s">
        <v>23</v>
      </c>
      <c r="S309" t="s">
        <v>24</v>
      </c>
      <c r="T309">
        <v>1</v>
      </c>
      <c r="U309">
        <v>4083.44</v>
      </c>
    </row>
    <row r="310" spans="1:21" x14ac:dyDescent="0.35">
      <c r="A310">
        <v>8982</v>
      </c>
      <c r="B310">
        <v>40</v>
      </c>
      <c r="C310" t="s">
        <v>21</v>
      </c>
      <c r="D310">
        <v>64898</v>
      </c>
      <c r="E310" t="s">
        <v>22</v>
      </c>
      <c r="F310" t="s">
        <v>30</v>
      </c>
      <c r="G310">
        <v>6140.42</v>
      </c>
      <c r="H310">
        <v>0.13</v>
      </c>
      <c r="I310">
        <v>0.03</v>
      </c>
      <c r="J310">
        <v>2</v>
      </c>
      <c r="K310">
        <v>4.1900000000000004</v>
      </c>
      <c r="L310">
        <v>7.37</v>
      </c>
      <c r="M310">
        <v>64</v>
      </c>
      <c r="N310">
        <v>0</v>
      </c>
      <c r="O310">
        <v>7</v>
      </c>
      <c r="P310">
        <v>5</v>
      </c>
      <c r="Q310">
        <v>1634</v>
      </c>
      <c r="R310" t="s">
        <v>23</v>
      </c>
      <c r="S310" t="s">
        <v>24</v>
      </c>
      <c r="T310">
        <v>1</v>
      </c>
      <c r="U310">
        <v>6140.42</v>
      </c>
    </row>
    <row r="311" spans="1:21" x14ac:dyDescent="0.35">
      <c r="A311">
        <v>8984</v>
      </c>
      <c r="B311">
        <v>41</v>
      </c>
      <c r="C311" t="s">
        <v>27</v>
      </c>
      <c r="D311">
        <v>23405</v>
      </c>
      <c r="E311" t="s">
        <v>29</v>
      </c>
      <c r="F311" t="s">
        <v>26</v>
      </c>
      <c r="G311">
        <v>9205.67</v>
      </c>
      <c r="H311">
        <v>0.18</v>
      </c>
      <c r="I311">
        <v>0.13</v>
      </c>
      <c r="J311">
        <v>40</v>
      </c>
      <c r="K311">
        <v>9.61</v>
      </c>
      <c r="L311">
        <v>6.68</v>
      </c>
      <c r="M311">
        <v>39</v>
      </c>
      <c r="N311">
        <v>0</v>
      </c>
      <c r="O311">
        <v>8</v>
      </c>
      <c r="P311">
        <v>4</v>
      </c>
      <c r="Q311">
        <v>2302</v>
      </c>
      <c r="R311" t="s">
        <v>23</v>
      </c>
      <c r="S311" t="s">
        <v>24</v>
      </c>
      <c r="T311">
        <v>1</v>
      </c>
      <c r="U311">
        <v>9205.67</v>
      </c>
    </row>
    <row r="312" spans="1:21" x14ac:dyDescent="0.35">
      <c r="A312">
        <v>8986</v>
      </c>
      <c r="B312">
        <v>62</v>
      </c>
      <c r="C312" t="s">
        <v>21</v>
      </c>
      <c r="D312">
        <v>30862</v>
      </c>
      <c r="E312" t="s">
        <v>28</v>
      </c>
      <c r="F312" t="s">
        <v>19</v>
      </c>
      <c r="G312">
        <v>4047.08</v>
      </c>
      <c r="H312">
        <v>7.0000000000000007E-2</v>
      </c>
      <c r="I312">
        <v>0.12</v>
      </c>
      <c r="J312">
        <v>40</v>
      </c>
      <c r="K312">
        <v>6.01</v>
      </c>
      <c r="L312">
        <v>10.96</v>
      </c>
      <c r="M312">
        <v>26</v>
      </c>
      <c r="N312">
        <v>8</v>
      </c>
      <c r="O312">
        <v>1</v>
      </c>
      <c r="P312">
        <v>2</v>
      </c>
      <c r="Q312">
        <v>4462</v>
      </c>
      <c r="R312" t="s">
        <v>23</v>
      </c>
      <c r="S312" t="s">
        <v>24</v>
      </c>
      <c r="T312">
        <v>1</v>
      </c>
      <c r="U312">
        <v>4047.08</v>
      </c>
    </row>
    <row r="313" spans="1:21" x14ac:dyDescent="0.35">
      <c r="A313">
        <v>8987</v>
      </c>
      <c r="B313">
        <v>43</v>
      </c>
      <c r="C313" t="s">
        <v>21</v>
      </c>
      <c r="D313">
        <v>74679</v>
      </c>
      <c r="E313" t="s">
        <v>25</v>
      </c>
      <c r="F313" t="s">
        <v>32</v>
      </c>
      <c r="G313">
        <v>2709.53</v>
      </c>
      <c r="H313">
        <v>0.22</v>
      </c>
      <c r="I313">
        <v>0.18</v>
      </c>
      <c r="J313">
        <v>12</v>
      </c>
      <c r="K313">
        <v>6.19</v>
      </c>
      <c r="L313">
        <v>3.41</v>
      </c>
      <c r="M313">
        <v>66</v>
      </c>
      <c r="N313">
        <v>9</v>
      </c>
      <c r="O313">
        <v>9</v>
      </c>
      <c r="P313">
        <v>4</v>
      </c>
      <c r="Q313">
        <v>3912</v>
      </c>
      <c r="R313" t="s">
        <v>23</v>
      </c>
      <c r="S313" t="s">
        <v>24</v>
      </c>
      <c r="T313">
        <v>1</v>
      </c>
      <c r="U313">
        <v>2709.53</v>
      </c>
    </row>
    <row r="314" spans="1:21" x14ac:dyDescent="0.35">
      <c r="A314">
        <v>8988</v>
      </c>
      <c r="B314">
        <v>31</v>
      </c>
      <c r="C314" t="s">
        <v>21</v>
      </c>
      <c r="D314">
        <v>48688</v>
      </c>
      <c r="E314" t="s">
        <v>25</v>
      </c>
      <c r="F314" t="s">
        <v>30</v>
      </c>
      <c r="G314">
        <v>9062.32</v>
      </c>
      <c r="H314">
        <v>0.1</v>
      </c>
      <c r="I314">
        <v>0.02</v>
      </c>
      <c r="J314">
        <v>8</v>
      </c>
      <c r="K314">
        <v>1.96</v>
      </c>
      <c r="L314">
        <v>5.84</v>
      </c>
      <c r="M314">
        <v>99</v>
      </c>
      <c r="N314">
        <v>11</v>
      </c>
      <c r="O314">
        <v>5</v>
      </c>
      <c r="P314">
        <v>3</v>
      </c>
      <c r="Q314">
        <v>4644</v>
      </c>
      <c r="R314" t="s">
        <v>23</v>
      </c>
      <c r="S314" t="s">
        <v>24</v>
      </c>
      <c r="T314">
        <v>1</v>
      </c>
      <c r="U314">
        <v>9062.32</v>
      </c>
    </row>
    <row r="315" spans="1:21" x14ac:dyDescent="0.35">
      <c r="A315">
        <v>8989</v>
      </c>
      <c r="B315">
        <v>68</v>
      </c>
      <c r="C315" t="s">
        <v>27</v>
      </c>
      <c r="D315">
        <v>68017</v>
      </c>
      <c r="E315" t="s">
        <v>22</v>
      </c>
      <c r="F315" t="s">
        <v>26</v>
      </c>
      <c r="G315">
        <v>261.02</v>
      </c>
      <c r="H315">
        <v>0.06</v>
      </c>
      <c r="I315">
        <v>0.03</v>
      </c>
      <c r="J315">
        <v>45</v>
      </c>
      <c r="K315">
        <v>2.48</v>
      </c>
      <c r="L315">
        <v>6.33</v>
      </c>
      <c r="M315">
        <v>93</v>
      </c>
      <c r="N315">
        <v>3</v>
      </c>
      <c r="O315">
        <v>3</v>
      </c>
      <c r="P315">
        <v>7</v>
      </c>
      <c r="Q315">
        <v>2385</v>
      </c>
      <c r="R315" t="s">
        <v>23</v>
      </c>
      <c r="S315" t="s">
        <v>24</v>
      </c>
      <c r="T315">
        <v>0</v>
      </c>
    </row>
    <row r="316" spans="1:21" x14ac:dyDescent="0.35">
      <c r="A316">
        <v>8991</v>
      </c>
      <c r="B316">
        <v>20</v>
      </c>
      <c r="C316" t="s">
        <v>21</v>
      </c>
      <c r="D316">
        <v>32939</v>
      </c>
      <c r="E316" t="s">
        <v>28</v>
      </c>
      <c r="F316" t="s">
        <v>30</v>
      </c>
      <c r="G316">
        <v>9440.7099999999991</v>
      </c>
      <c r="H316">
        <v>7.0000000000000007E-2</v>
      </c>
      <c r="I316">
        <v>0.13</v>
      </c>
      <c r="J316">
        <v>48</v>
      </c>
      <c r="K316">
        <v>7.93</v>
      </c>
      <c r="L316">
        <v>5.8</v>
      </c>
      <c r="M316">
        <v>73</v>
      </c>
      <c r="N316">
        <v>10</v>
      </c>
      <c r="O316">
        <v>7</v>
      </c>
      <c r="P316">
        <v>9</v>
      </c>
      <c r="Q316">
        <v>2070</v>
      </c>
      <c r="R316" t="s">
        <v>23</v>
      </c>
      <c r="S316" t="s">
        <v>24</v>
      </c>
      <c r="T316">
        <v>1</v>
      </c>
      <c r="U316">
        <v>9440.7099999999991</v>
      </c>
    </row>
    <row r="317" spans="1:21" x14ac:dyDescent="0.35">
      <c r="A317">
        <v>8995</v>
      </c>
      <c r="B317">
        <v>60</v>
      </c>
      <c r="C317" t="s">
        <v>27</v>
      </c>
      <c r="D317">
        <v>59585</v>
      </c>
      <c r="E317" t="s">
        <v>25</v>
      </c>
      <c r="F317" t="s">
        <v>19</v>
      </c>
      <c r="G317">
        <v>8350.41</v>
      </c>
      <c r="H317">
        <v>0.22</v>
      </c>
      <c r="I317">
        <v>0.12</v>
      </c>
      <c r="J317">
        <v>10</v>
      </c>
      <c r="K317">
        <v>3.8</v>
      </c>
      <c r="L317">
        <v>0.93</v>
      </c>
      <c r="M317">
        <v>97</v>
      </c>
      <c r="N317">
        <v>19</v>
      </c>
      <c r="O317">
        <v>1</v>
      </c>
      <c r="P317">
        <v>0</v>
      </c>
      <c r="Q317">
        <v>2229</v>
      </c>
      <c r="R317" t="s">
        <v>23</v>
      </c>
      <c r="S317" t="s">
        <v>24</v>
      </c>
      <c r="T317">
        <v>1</v>
      </c>
      <c r="U317">
        <v>8350.41</v>
      </c>
    </row>
    <row r="318" spans="1:21" x14ac:dyDescent="0.35">
      <c r="A318">
        <v>10423</v>
      </c>
      <c r="B318">
        <v>51</v>
      </c>
      <c r="C318" t="s">
        <v>21</v>
      </c>
      <c r="D318">
        <v>92317</v>
      </c>
      <c r="E318" t="s">
        <v>22</v>
      </c>
      <c r="F318" t="s">
        <v>19</v>
      </c>
      <c r="G318">
        <v>1330.65</v>
      </c>
      <c r="H318">
        <v>0.15</v>
      </c>
      <c r="I318">
        <v>0.1</v>
      </c>
      <c r="J318">
        <v>14</v>
      </c>
      <c r="K318">
        <v>3.65</v>
      </c>
      <c r="L318">
        <v>6.97</v>
      </c>
      <c r="M318">
        <v>68</v>
      </c>
      <c r="N318">
        <v>5</v>
      </c>
      <c r="O318">
        <v>2</v>
      </c>
      <c r="P318">
        <v>7</v>
      </c>
      <c r="Q318">
        <v>327</v>
      </c>
      <c r="R318" t="s">
        <v>23</v>
      </c>
      <c r="S318" t="s">
        <v>24</v>
      </c>
      <c r="T318">
        <v>1</v>
      </c>
      <c r="U318">
        <v>1330.65</v>
      </c>
    </row>
    <row r="319" spans="1:21" x14ac:dyDescent="0.35">
      <c r="A319">
        <v>11432</v>
      </c>
      <c r="B319">
        <v>28</v>
      </c>
      <c r="C319" t="s">
        <v>21</v>
      </c>
      <c r="D319">
        <v>23582</v>
      </c>
      <c r="E319" t="s">
        <v>29</v>
      </c>
      <c r="F319" t="s">
        <v>32</v>
      </c>
      <c r="G319">
        <v>8207.8700000000008</v>
      </c>
      <c r="H319">
        <v>0.1</v>
      </c>
      <c r="I319">
        <v>0.15</v>
      </c>
      <c r="J319">
        <v>39</v>
      </c>
      <c r="K319">
        <v>4.22</v>
      </c>
      <c r="L319">
        <v>3.47</v>
      </c>
      <c r="M319">
        <v>0</v>
      </c>
      <c r="N319">
        <v>7</v>
      </c>
      <c r="O319">
        <v>9</v>
      </c>
      <c r="P319">
        <v>6</v>
      </c>
      <c r="Q319">
        <v>1953</v>
      </c>
      <c r="R319" t="s">
        <v>23</v>
      </c>
      <c r="S319" t="s">
        <v>24</v>
      </c>
      <c r="T319">
        <v>1</v>
      </c>
      <c r="U319">
        <v>8207.8700000000008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3370-C900-4705-BCB3-99C5CEF31A76}">
  <sheetPr>
    <pageSetUpPr fitToPage="1"/>
  </sheetPr>
  <dimension ref="A1:C38"/>
  <sheetViews>
    <sheetView showGridLines="0" showRowColHeaders="0" workbookViewId="0">
      <selection activeCell="Q41" sqref="Q41"/>
    </sheetView>
  </sheetViews>
  <sheetFormatPr defaultRowHeight="14.5" x14ac:dyDescent="0.35"/>
  <cols>
    <col min="1" max="16384" width="8.7265625" style="1"/>
  </cols>
  <sheetData>
    <row r="1" spans="1:3" x14ac:dyDescent="0.35">
      <c r="A1" s="2"/>
      <c r="B1" s="2"/>
      <c r="C1" s="2"/>
    </row>
    <row r="2" spans="1:3" x14ac:dyDescent="0.35">
      <c r="A2" s="2"/>
      <c r="B2" s="2"/>
      <c r="C2" s="2"/>
    </row>
    <row r="3" spans="1:3" x14ac:dyDescent="0.35">
      <c r="A3" s="2"/>
      <c r="B3" s="2"/>
      <c r="C3" s="2"/>
    </row>
    <row r="4" spans="1:3" x14ac:dyDescent="0.35">
      <c r="A4" s="2"/>
      <c r="B4" s="2"/>
      <c r="C4" s="2"/>
    </row>
    <row r="5" spans="1:3" x14ac:dyDescent="0.35">
      <c r="A5" s="2"/>
      <c r="B5" s="2"/>
      <c r="C5" s="2"/>
    </row>
    <row r="6" spans="1:3" x14ac:dyDescent="0.35">
      <c r="A6" s="2"/>
      <c r="B6" s="2"/>
      <c r="C6" s="2"/>
    </row>
    <row r="7" spans="1:3" x14ac:dyDescent="0.35">
      <c r="A7" s="2"/>
      <c r="B7" s="2"/>
      <c r="C7" s="2"/>
    </row>
    <row r="8" spans="1:3" x14ac:dyDescent="0.35">
      <c r="A8" s="2"/>
      <c r="B8" s="2"/>
      <c r="C8" s="2"/>
    </row>
    <row r="9" spans="1:3" x14ac:dyDescent="0.35">
      <c r="A9" s="2"/>
      <c r="B9" s="2"/>
      <c r="C9" s="2"/>
    </row>
    <row r="10" spans="1:3" x14ac:dyDescent="0.35">
      <c r="A10" s="2"/>
      <c r="B10" s="2"/>
      <c r="C10" s="2"/>
    </row>
    <row r="11" spans="1:3" x14ac:dyDescent="0.35">
      <c r="A11" s="2"/>
      <c r="B11" s="2"/>
      <c r="C11" s="2"/>
    </row>
    <row r="12" spans="1:3" x14ac:dyDescent="0.35">
      <c r="A12" s="2"/>
      <c r="B12" s="2"/>
      <c r="C12" s="2"/>
    </row>
    <row r="13" spans="1:3" x14ac:dyDescent="0.35">
      <c r="A13" s="2"/>
      <c r="B13" s="2"/>
      <c r="C13" s="2"/>
    </row>
    <row r="14" spans="1:3" x14ac:dyDescent="0.35">
      <c r="A14" s="2"/>
      <c r="B14" s="2"/>
      <c r="C14" s="2"/>
    </row>
    <row r="15" spans="1:3" x14ac:dyDescent="0.35">
      <c r="A15" s="2"/>
      <c r="B15" s="2"/>
      <c r="C15" s="2"/>
    </row>
    <row r="16" spans="1:3" x14ac:dyDescent="0.35">
      <c r="A16" s="2"/>
      <c r="B16" s="2"/>
      <c r="C16" s="2"/>
    </row>
    <row r="17" spans="1:3" x14ac:dyDescent="0.35">
      <c r="A17" s="2"/>
      <c r="B17" s="2"/>
      <c r="C17" s="2"/>
    </row>
    <row r="18" spans="1:3" x14ac:dyDescent="0.35">
      <c r="A18" s="2"/>
      <c r="B18" s="2"/>
      <c r="C18" s="2"/>
    </row>
    <row r="19" spans="1:3" x14ac:dyDescent="0.35">
      <c r="A19" s="2"/>
      <c r="B19" s="2"/>
      <c r="C19" s="2"/>
    </row>
    <row r="20" spans="1:3" x14ac:dyDescent="0.35">
      <c r="A20" s="2"/>
      <c r="B20" s="2"/>
      <c r="C20" s="2"/>
    </row>
    <row r="21" spans="1:3" x14ac:dyDescent="0.35">
      <c r="A21" s="2"/>
      <c r="B21" s="2"/>
      <c r="C21" s="2"/>
    </row>
    <row r="22" spans="1:3" x14ac:dyDescent="0.35">
      <c r="A22" s="2"/>
      <c r="B22" s="2"/>
      <c r="C22" s="2"/>
    </row>
    <row r="23" spans="1:3" x14ac:dyDescent="0.35">
      <c r="A23" s="2"/>
      <c r="B23" s="2"/>
      <c r="C23" s="2"/>
    </row>
    <row r="24" spans="1:3" x14ac:dyDescent="0.35">
      <c r="A24" s="2"/>
      <c r="B24" s="2"/>
      <c r="C24" s="2"/>
    </row>
    <row r="25" spans="1:3" x14ac:dyDescent="0.35">
      <c r="A25" s="2"/>
      <c r="B25" s="2"/>
      <c r="C25" s="2"/>
    </row>
    <row r="26" spans="1:3" x14ac:dyDescent="0.35">
      <c r="A26" s="2"/>
      <c r="B26" s="2"/>
      <c r="C26" s="2"/>
    </row>
    <row r="27" spans="1:3" x14ac:dyDescent="0.35">
      <c r="A27" s="2"/>
      <c r="B27" s="2"/>
      <c r="C27" s="2"/>
    </row>
    <row r="28" spans="1:3" x14ac:dyDescent="0.35">
      <c r="A28" s="2"/>
      <c r="B28" s="2"/>
      <c r="C28" s="2"/>
    </row>
    <row r="29" spans="1:3" x14ac:dyDescent="0.35">
      <c r="A29" s="2"/>
      <c r="B29" s="2"/>
      <c r="C29" s="2"/>
    </row>
    <row r="30" spans="1:3" x14ac:dyDescent="0.35">
      <c r="A30" s="2"/>
      <c r="B30" s="2"/>
      <c r="C30" s="2"/>
    </row>
    <row r="31" spans="1:3" x14ac:dyDescent="0.35">
      <c r="A31" s="2"/>
      <c r="B31" s="2"/>
      <c r="C31" s="2"/>
    </row>
    <row r="32" spans="1:3" x14ac:dyDescent="0.35">
      <c r="A32" s="2"/>
      <c r="B32" s="2"/>
      <c r="C32" s="2"/>
    </row>
    <row r="33" spans="1:3" x14ac:dyDescent="0.35">
      <c r="A33" s="2"/>
      <c r="B33" s="2"/>
      <c r="C33" s="2"/>
    </row>
    <row r="34" spans="1:3" x14ac:dyDescent="0.35">
      <c r="A34" s="2"/>
      <c r="B34" s="2"/>
      <c r="C34" s="2"/>
    </row>
    <row r="35" spans="1:3" x14ac:dyDescent="0.35">
      <c r="A35" s="2"/>
      <c r="B35" s="2"/>
      <c r="C35" s="2"/>
    </row>
    <row r="36" spans="1:3" x14ac:dyDescent="0.35">
      <c r="A36" s="2"/>
      <c r="B36" s="2"/>
      <c r="C36" s="2"/>
    </row>
    <row r="37" spans="1:3" x14ac:dyDescent="0.35">
      <c r="A37" s="2"/>
      <c r="B37" s="2"/>
      <c r="C37" s="2"/>
    </row>
    <row r="38" spans="1:3" x14ac:dyDescent="0.35">
      <c r="A38" s="2"/>
      <c r="B38" s="2"/>
      <c r="C38" s="2"/>
    </row>
  </sheetData>
  <pageMargins left="0.25" right="0.25" top="0.75" bottom="0.75" header="0.3" footer="0.3"/>
  <pageSetup paperSize="9" orientation="landscape"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D526-B33C-45D9-AB4F-1887F890DD22}">
  <sheetPr>
    <pageSetUpPr fitToPage="1"/>
  </sheetPr>
  <dimension ref="A1:C34"/>
  <sheetViews>
    <sheetView showGridLines="0" showRowColHeaders="0" workbookViewId="0">
      <selection activeCell="S48" sqref="S48"/>
    </sheetView>
  </sheetViews>
  <sheetFormatPr defaultRowHeight="14.5" x14ac:dyDescent="0.35"/>
  <cols>
    <col min="1" max="16384" width="8.7265625" style="1"/>
  </cols>
  <sheetData>
    <row r="1" spans="1:3" x14ac:dyDescent="0.35">
      <c r="A1" s="2"/>
      <c r="B1" s="2"/>
      <c r="C1" s="2"/>
    </row>
    <row r="2" spans="1:3" x14ac:dyDescent="0.35">
      <c r="A2" s="2"/>
      <c r="B2" s="2"/>
      <c r="C2" s="2"/>
    </row>
    <row r="3" spans="1:3" x14ac:dyDescent="0.35">
      <c r="A3" s="2"/>
      <c r="B3" s="2"/>
      <c r="C3" s="2"/>
    </row>
    <row r="4" spans="1:3" x14ac:dyDescent="0.35">
      <c r="A4" s="2"/>
      <c r="B4" s="2"/>
      <c r="C4" s="2"/>
    </row>
    <row r="5" spans="1:3" x14ac:dyDescent="0.35">
      <c r="A5" s="2"/>
      <c r="B5" s="2"/>
      <c r="C5" s="2"/>
    </row>
    <row r="6" spans="1:3" x14ac:dyDescent="0.35">
      <c r="A6" s="2"/>
      <c r="B6" s="2"/>
      <c r="C6" s="2"/>
    </row>
    <row r="7" spans="1:3" x14ac:dyDescent="0.35">
      <c r="A7" s="2"/>
      <c r="B7" s="2"/>
      <c r="C7" s="2"/>
    </row>
    <row r="8" spans="1:3" x14ac:dyDescent="0.35">
      <c r="A8" s="2"/>
      <c r="B8" s="2"/>
      <c r="C8" s="2"/>
    </row>
    <row r="9" spans="1:3" x14ac:dyDescent="0.35">
      <c r="A9" s="2"/>
      <c r="B9" s="2"/>
      <c r="C9" s="2"/>
    </row>
    <row r="10" spans="1:3" x14ac:dyDescent="0.35">
      <c r="A10" s="2"/>
      <c r="B10" s="2"/>
      <c r="C10" s="2"/>
    </row>
    <row r="11" spans="1:3" x14ac:dyDescent="0.35">
      <c r="A11" s="2"/>
      <c r="B11" s="2"/>
      <c r="C11" s="2"/>
    </row>
    <row r="12" spans="1:3" x14ac:dyDescent="0.35">
      <c r="A12" s="2"/>
      <c r="B12" s="2"/>
      <c r="C12" s="2"/>
    </row>
    <row r="13" spans="1:3" x14ac:dyDescent="0.35">
      <c r="A13" s="2"/>
      <c r="B13" s="2"/>
      <c r="C13" s="2"/>
    </row>
    <row r="14" spans="1:3" x14ac:dyDescent="0.35">
      <c r="A14" s="2"/>
      <c r="B14" s="2"/>
      <c r="C14" s="2"/>
    </row>
    <row r="15" spans="1:3" x14ac:dyDescent="0.35">
      <c r="A15" s="2"/>
      <c r="B15" s="2"/>
      <c r="C15" s="2"/>
    </row>
    <row r="16" spans="1:3" x14ac:dyDescent="0.35">
      <c r="A16" s="2"/>
      <c r="B16" s="2"/>
      <c r="C16" s="2"/>
    </row>
    <row r="17" spans="1:3" x14ac:dyDescent="0.35">
      <c r="A17" s="2"/>
      <c r="B17" s="2"/>
      <c r="C17" s="2"/>
    </row>
    <row r="18" spans="1:3" x14ac:dyDescent="0.35">
      <c r="A18" s="2"/>
      <c r="B18" s="2"/>
      <c r="C18" s="2"/>
    </row>
    <row r="19" spans="1:3" x14ac:dyDescent="0.35">
      <c r="A19" s="2"/>
      <c r="B19" s="2"/>
      <c r="C19" s="2"/>
    </row>
    <row r="20" spans="1:3" x14ac:dyDescent="0.35">
      <c r="A20" s="2"/>
      <c r="B20" s="2"/>
      <c r="C20" s="2"/>
    </row>
    <row r="21" spans="1:3" x14ac:dyDescent="0.35">
      <c r="A21" s="2"/>
      <c r="B21" s="2"/>
      <c r="C21" s="2"/>
    </row>
    <row r="22" spans="1:3" x14ac:dyDescent="0.35">
      <c r="A22" s="2"/>
      <c r="B22" s="2"/>
      <c r="C22" s="2"/>
    </row>
    <row r="23" spans="1:3" x14ac:dyDescent="0.35">
      <c r="A23" s="2"/>
      <c r="B23" s="2"/>
      <c r="C23" s="2"/>
    </row>
    <row r="24" spans="1:3" x14ac:dyDescent="0.35">
      <c r="A24" s="2"/>
      <c r="B24" s="2"/>
      <c r="C24" s="2"/>
    </row>
    <row r="25" spans="1:3" x14ac:dyDescent="0.35">
      <c r="A25" s="2"/>
      <c r="B25" s="2"/>
      <c r="C25" s="2"/>
    </row>
    <row r="26" spans="1:3" x14ac:dyDescent="0.35">
      <c r="A26" s="2"/>
      <c r="B26" s="2"/>
      <c r="C26" s="2"/>
    </row>
    <row r="27" spans="1:3" x14ac:dyDescent="0.35">
      <c r="A27" s="2"/>
      <c r="B27" s="2"/>
      <c r="C27" s="2"/>
    </row>
    <row r="28" spans="1:3" x14ac:dyDescent="0.35">
      <c r="A28" s="2"/>
      <c r="B28" s="2"/>
      <c r="C28" s="2"/>
    </row>
    <row r="29" spans="1:3" x14ac:dyDescent="0.35">
      <c r="A29" s="2"/>
      <c r="B29" s="2"/>
      <c r="C29" s="2"/>
    </row>
    <row r="30" spans="1:3" x14ac:dyDescent="0.35">
      <c r="A30" s="2"/>
      <c r="B30" s="2"/>
      <c r="C30" s="2"/>
    </row>
    <row r="31" spans="1:3" x14ac:dyDescent="0.35">
      <c r="A31" s="2"/>
      <c r="B31" s="2"/>
      <c r="C31" s="2"/>
    </row>
    <row r="32" spans="1:3" x14ac:dyDescent="0.35">
      <c r="A32" s="2"/>
      <c r="B32" s="2"/>
      <c r="C32" s="2"/>
    </row>
    <row r="33" spans="1:3" x14ac:dyDescent="0.35">
      <c r="A33" s="2"/>
      <c r="B33" s="2"/>
      <c r="C33" s="2"/>
    </row>
    <row r="34" spans="1:3" x14ac:dyDescent="0.35">
      <c r="A34" s="2"/>
      <c r="B34" s="2"/>
      <c r="C34" s="2"/>
    </row>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1ABD-3D75-4B92-99FC-B95A149BF66E}">
  <dimension ref="B4:W38"/>
  <sheetViews>
    <sheetView showGridLines="0" topLeftCell="N3" workbookViewId="0">
      <selection activeCell="J21" sqref="J21"/>
    </sheetView>
  </sheetViews>
  <sheetFormatPr defaultRowHeight="14.5" x14ac:dyDescent="0.35"/>
  <cols>
    <col min="2" max="2" width="18.6328125" bestFit="1" customWidth="1"/>
    <col min="3" max="3" width="17.81640625" bestFit="1" customWidth="1"/>
    <col min="4" max="4" width="18.7265625" bestFit="1" customWidth="1"/>
    <col min="6" max="6" width="12.36328125" bestFit="1" customWidth="1"/>
    <col min="7" max="7" width="19.1796875" bestFit="1" customWidth="1"/>
    <col min="8" max="8" width="16.36328125" bestFit="1" customWidth="1"/>
    <col min="9" max="9" width="16.54296875" bestFit="1" customWidth="1"/>
    <col min="10" max="13" width="16.54296875" customWidth="1"/>
    <col min="16" max="16" width="12.36328125" bestFit="1" customWidth="1"/>
    <col min="17" max="17" width="18.6328125" bestFit="1" customWidth="1"/>
    <col min="18" max="18" width="16.54296875" bestFit="1" customWidth="1"/>
    <col min="21" max="21" width="18.26953125" bestFit="1" customWidth="1"/>
    <col min="22" max="22" width="16.54296875" bestFit="1" customWidth="1"/>
    <col min="23" max="23" width="6.90625" bestFit="1" customWidth="1"/>
  </cols>
  <sheetData>
    <row r="4" spans="2:23" x14ac:dyDescent="0.35">
      <c r="B4" t="s">
        <v>33</v>
      </c>
      <c r="C4" t="s">
        <v>82</v>
      </c>
    </row>
    <row r="5" spans="2:23" x14ac:dyDescent="0.35">
      <c r="B5" s="14">
        <v>1520494.290000001</v>
      </c>
      <c r="C5">
        <v>4781.4285849056632</v>
      </c>
      <c r="F5" s="6" t="s">
        <v>36</v>
      </c>
      <c r="G5" t="s">
        <v>38</v>
      </c>
      <c r="H5" t="s">
        <v>35</v>
      </c>
      <c r="I5" t="s">
        <v>50</v>
      </c>
      <c r="P5" s="6" t="s">
        <v>36</v>
      </c>
      <c r="Q5" t="s">
        <v>39</v>
      </c>
      <c r="R5" t="s">
        <v>34</v>
      </c>
      <c r="U5" s="9" t="s">
        <v>4</v>
      </c>
      <c r="V5" t="s">
        <v>34</v>
      </c>
      <c r="W5" t="s">
        <v>52</v>
      </c>
    </row>
    <row r="6" spans="2:23" x14ac:dyDescent="0.35">
      <c r="F6" s="7" t="s">
        <v>28</v>
      </c>
      <c r="G6" s="4">
        <v>308171.2300000001</v>
      </c>
      <c r="H6">
        <v>62</v>
      </c>
      <c r="I6" s="12">
        <v>0.10720588235294121</v>
      </c>
      <c r="P6" s="7" t="s">
        <v>28</v>
      </c>
      <c r="Q6">
        <v>1765</v>
      </c>
      <c r="R6">
        <v>62</v>
      </c>
      <c r="U6" t="s">
        <v>28</v>
      </c>
      <c r="V6">
        <v>62</v>
      </c>
      <c r="W6" s="11">
        <v>4970.5037096774213</v>
      </c>
    </row>
    <row r="7" spans="2:23" x14ac:dyDescent="0.35">
      <c r="F7" s="7" t="s">
        <v>22</v>
      </c>
      <c r="G7" s="4">
        <v>326461.12999999989</v>
      </c>
      <c r="H7">
        <v>60</v>
      </c>
      <c r="I7" s="12">
        <v>9.6521739130434783E-2</v>
      </c>
      <c r="P7" s="7" t="s">
        <v>22</v>
      </c>
      <c r="Q7">
        <v>1694</v>
      </c>
      <c r="R7">
        <v>60</v>
      </c>
      <c r="U7" t="s">
        <v>22</v>
      </c>
      <c r="V7">
        <v>60</v>
      </c>
      <c r="W7" s="11">
        <v>5441.0188333333317</v>
      </c>
    </row>
    <row r="8" spans="2:23" x14ac:dyDescent="0.35">
      <c r="F8" s="7" t="s">
        <v>25</v>
      </c>
      <c r="G8" s="4">
        <v>291121.96000000002</v>
      </c>
      <c r="H8">
        <v>52</v>
      </c>
      <c r="I8" s="12">
        <v>0.10226415094339622</v>
      </c>
      <c r="P8" s="7" t="s">
        <v>31</v>
      </c>
      <c r="Q8">
        <v>1669</v>
      </c>
      <c r="R8">
        <v>63</v>
      </c>
      <c r="U8" t="s">
        <v>25</v>
      </c>
      <c r="V8">
        <v>52</v>
      </c>
      <c r="W8" s="11">
        <v>5598.499230769231</v>
      </c>
    </row>
    <row r="9" spans="2:23" x14ac:dyDescent="0.35">
      <c r="F9" s="7" t="s">
        <v>29</v>
      </c>
      <c r="G9" s="4">
        <v>300698.82999999996</v>
      </c>
      <c r="H9">
        <v>58</v>
      </c>
      <c r="I9" s="12">
        <v>0.10870967741935482</v>
      </c>
      <c r="P9" s="7" t="s">
        <v>29</v>
      </c>
      <c r="Q9">
        <v>1589</v>
      </c>
      <c r="R9">
        <v>58</v>
      </c>
      <c r="U9" t="s">
        <v>29</v>
      </c>
      <c r="V9">
        <v>58</v>
      </c>
      <c r="W9" s="11">
        <v>5184.462586206896</v>
      </c>
    </row>
    <row r="10" spans="2:23" x14ac:dyDescent="0.35">
      <c r="F10" s="7" t="s">
        <v>31</v>
      </c>
      <c r="G10" s="4">
        <v>294041.14000000007</v>
      </c>
      <c r="H10">
        <v>63</v>
      </c>
      <c r="I10" s="12">
        <v>0.11212121212121214</v>
      </c>
      <c r="P10" s="7" t="s">
        <v>25</v>
      </c>
      <c r="Q10">
        <v>1309</v>
      </c>
      <c r="R10">
        <v>52</v>
      </c>
      <c r="U10" t="s">
        <v>31</v>
      </c>
      <c r="V10">
        <v>63</v>
      </c>
      <c r="W10" s="11">
        <v>4667.3196825396835</v>
      </c>
    </row>
    <row r="11" spans="2:23" x14ac:dyDescent="0.35">
      <c r="F11" s="7" t="s">
        <v>37</v>
      </c>
      <c r="G11" s="4">
        <v>1520494.2900000019</v>
      </c>
      <c r="H11">
        <v>295</v>
      </c>
      <c r="I11" s="12">
        <v>0.10537735849056608</v>
      </c>
      <c r="P11" s="7" t="s">
        <v>37</v>
      </c>
      <c r="Q11">
        <v>8026</v>
      </c>
      <c r="R11">
        <v>295</v>
      </c>
    </row>
    <row r="16" spans="2:23" x14ac:dyDescent="0.35">
      <c r="F16" t="s">
        <v>39</v>
      </c>
      <c r="G16" t="s">
        <v>40</v>
      </c>
      <c r="H16" t="s">
        <v>41</v>
      </c>
      <c r="I16" t="s">
        <v>34</v>
      </c>
    </row>
    <row r="17" spans="2:9" x14ac:dyDescent="0.35">
      <c r="B17" t="s">
        <v>35</v>
      </c>
      <c r="F17">
        <v>8026</v>
      </c>
      <c r="G17">
        <v>3079</v>
      </c>
      <c r="H17">
        <v>1392</v>
      </c>
      <c r="I17">
        <v>295</v>
      </c>
    </row>
    <row r="18" spans="2:9" x14ac:dyDescent="0.35">
      <c r="B18">
        <v>295</v>
      </c>
    </row>
    <row r="22" spans="2:9" x14ac:dyDescent="0.35">
      <c r="C22" s="5"/>
      <c r="F22" s="6" t="s">
        <v>36</v>
      </c>
      <c r="G22" t="s">
        <v>51</v>
      </c>
    </row>
    <row r="23" spans="2:9" x14ac:dyDescent="0.35">
      <c r="F23" s="7" t="s">
        <v>31</v>
      </c>
      <c r="G23" s="8">
        <v>4667.3196825396835</v>
      </c>
    </row>
    <row r="24" spans="2:9" x14ac:dyDescent="0.35">
      <c r="B24" t="s">
        <v>48</v>
      </c>
      <c r="F24" s="7" t="s">
        <v>28</v>
      </c>
      <c r="G24" s="8">
        <v>4970.5037096774213</v>
      </c>
    </row>
    <row r="25" spans="2:9" ht="26" x14ac:dyDescent="0.6">
      <c r="B25" s="10">
        <v>5154.2179322033935</v>
      </c>
      <c r="F25" s="7" t="s">
        <v>29</v>
      </c>
      <c r="G25" s="8">
        <v>5184.462586206896</v>
      </c>
    </row>
    <row r="26" spans="2:9" x14ac:dyDescent="0.35">
      <c r="F26" s="7" t="s">
        <v>22</v>
      </c>
      <c r="G26" s="8">
        <v>5441.0188333333317</v>
      </c>
    </row>
    <row r="27" spans="2:9" x14ac:dyDescent="0.35">
      <c r="F27" s="7" t="s">
        <v>25</v>
      </c>
      <c r="G27" s="8">
        <v>5598.499230769231</v>
      </c>
    </row>
    <row r="28" spans="2:9" x14ac:dyDescent="0.35">
      <c r="F28" s="7" t="s">
        <v>37</v>
      </c>
      <c r="G28" s="8">
        <v>5154.2179322033962</v>
      </c>
    </row>
    <row r="31" spans="2:9" x14ac:dyDescent="0.35">
      <c r="B31" t="s">
        <v>50</v>
      </c>
    </row>
    <row r="32" spans="2:9" x14ac:dyDescent="0.35">
      <c r="B32" s="12">
        <v>0.10537735849056608</v>
      </c>
    </row>
    <row r="37" spans="2:2" x14ac:dyDescent="0.35">
      <c r="B37" t="s">
        <v>39</v>
      </c>
    </row>
    <row r="38" spans="2:2" x14ac:dyDescent="0.35">
      <c r="B38">
        <v>8026</v>
      </c>
    </row>
  </sheetData>
  <sortState xmlns:xlrd2="http://schemas.microsoft.com/office/spreadsheetml/2017/richdata2" ref="P5:R11">
    <sortCondition descending="1" ref="Q5"/>
  </sortState>
  <conditionalFormatting sqref="W5">
    <cfRule type="dataBar" priority="2">
      <dataBar>
        <cfvo type="min"/>
        <cfvo type="max"/>
        <color theme="9" tint="0.79998168889431442"/>
      </dataBar>
      <extLst>
        <ext xmlns:x14="http://schemas.microsoft.com/office/spreadsheetml/2009/9/main" uri="{B025F937-C7B1-47D3-B67F-A62EFF666E3E}">
          <x14:id>{67FC074F-274E-4AA2-B345-F44902738B4D}</x14:id>
        </ext>
      </extLst>
    </cfRule>
  </conditionalFormatting>
  <conditionalFormatting pivot="1" sqref="W6:W10">
    <cfRule type="dataBar" priority="1">
      <dataBar>
        <cfvo type="min"/>
        <cfvo type="max"/>
        <color theme="9" tint="0.79998168889431442"/>
      </dataBar>
      <extLst>
        <ext xmlns:x14="http://schemas.microsoft.com/office/spreadsheetml/2009/9/main" uri="{B025F937-C7B1-47D3-B67F-A62EFF666E3E}">
          <x14:id>{BF2B50F3-2B55-4A2F-96C1-D6C35E8529C3}</x14:id>
        </ext>
      </extLst>
    </cfRule>
  </conditionalFormatting>
  <pageMargins left="0.7" right="0.7" top="0.75" bottom="0.75" header="0.3" footer="0.3"/>
  <pageSetup orientation="portrait" r:id="rId11"/>
  <drawing r:id="rId12"/>
  <extLst>
    <ext xmlns:x14="http://schemas.microsoft.com/office/spreadsheetml/2009/9/main" uri="{78C0D931-6437-407d-A8EE-F0AAD7539E65}">
      <x14:conditionalFormattings>
        <x14:conditionalFormatting xmlns:xm="http://schemas.microsoft.com/office/excel/2006/main">
          <x14:cfRule type="dataBar" id="{67FC074F-274E-4AA2-B345-F44902738B4D}">
            <x14:dataBar minLength="0" maxLength="100" gradient="0">
              <x14:cfvo type="autoMin"/>
              <x14:cfvo type="autoMax"/>
              <x14:negativeFillColor rgb="FFFF0000"/>
              <x14:axisColor rgb="FF000000"/>
            </x14:dataBar>
          </x14:cfRule>
          <xm:sqref>W5</xm:sqref>
        </x14:conditionalFormatting>
        <x14:conditionalFormatting xmlns:xm="http://schemas.microsoft.com/office/excel/2006/main" pivot="1">
          <x14:cfRule type="dataBar" id="{BF2B50F3-2B55-4A2F-96C1-D6C35E8529C3}">
            <x14:dataBar minLength="0" maxLength="100" gradient="0">
              <x14:cfvo type="autoMin"/>
              <x14:cfvo type="autoMax"/>
              <x14:negativeFillColor rgb="FFFF0000"/>
              <x14:axisColor rgb="FF000000"/>
            </x14:dataBar>
          </x14:cfRule>
          <xm:sqref>W6:W10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9F6F-60B1-45DF-87F4-CE6E3D25CE6D}">
  <dimension ref="B4:J19"/>
  <sheetViews>
    <sheetView workbookViewId="0">
      <selection activeCell="H7" sqref="H7"/>
    </sheetView>
  </sheetViews>
  <sheetFormatPr defaultRowHeight="14.5" x14ac:dyDescent="0.35"/>
  <cols>
    <col min="2" max="2" width="13.1796875" customWidth="1"/>
    <col min="7" max="7" width="12.453125" customWidth="1"/>
    <col min="8" max="8" width="14.7265625" customWidth="1"/>
    <col min="9" max="9" width="14.54296875" customWidth="1"/>
    <col min="10" max="10" width="22.36328125" customWidth="1"/>
  </cols>
  <sheetData>
    <row r="4" spans="2:10" x14ac:dyDescent="0.35">
      <c r="G4" s="3" t="s">
        <v>36</v>
      </c>
      <c r="H4" s="3" t="s">
        <v>38</v>
      </c>
      <c r="I4" s="3" t="str">
        <f>' Marketing  pivot sheet'!$H$5</f>
        <v>Total Conversions</v>
      </c>
      <c r="J4" s="3" t="str">
        <f>' Marketing  pivot sheet'!$I$5</f>
        <v>Average of ConversionRate</v>
      </c>
    </row>
    <row r="5" spans="2:10" x14ac:dyDescent="0.35">
      <c r="G5" s="7" t="s">
        <v>28</v>
      </c>
      <c r="H5" s="4">
        <f>' Marketing  pivot sheet'!G6</f>
        <v>308171.2300000001</v>
      </c>
      <c r="I5" s="8">
        <f>' Marketing  pivot sheet'!H6</f>
        <v>62</v>
      </c>
      <c r="J5" s="13">
        <f>' Marketing  pivot sheet'!I6</f>
        <v>0.10720588235294121</v>
      </c>
    </row>
    <row r="6" spans="2:10" x14ac:dyDescent="0.35">
      <c r="G6" s="7" t="s">
        <v>22</v>
      </c>
      <c r="H6" s="4">
        <f>' Marketing  pivot sheet'!G7</f>
        <v>326461.12999999989</v>
      </c>
      <c r="I6" s="8">
        <f>' Marketing  pivot sheet'!H7</f>
        <v>60</v>
      </c>
      <c r="J6" s="13">
        <f>' Marketing  pivot sheet'!I7</f>
        <v>9.6521739130434783E-2</v>
      </c>
    </row>
    <row r="7" spans="2:10" x14ac:dyDescent="0.35">
      <c r="G7" s="7" t="s">
        <v>25</v>
      </c>
      <c r="H7" s="4">
        <f>' Marketing  pivot sheet'!G8</f>
        <v>291121.96000000002</v>
      </c>
      <c r="I7" s="8">
        <f>' Marketing  pivot sheet'!H8</f>
        <v>52</v>
      </c>
      <c r="J7" s="13">
        <f>' Marketing  pivot sheet'!I8</f>
        <v>0.10226415094339622</v>
      </c>
    </row>
    <row r="8" spans="2:10" x14ac:dyDescent="0.35">
      <c r="G8" s="7" t="s">
        <v>29</v>
      </c>
      <c r="H8" s="4">
        <f>' Marketing  pivot sheet'!G9</f>
        <v>300698.82999999996</v>
      </c>
      <c r="I8" s="8">
        <f>' Marketing  pivot sheet'!H9</f>
        <v>58</v>
      </c>
      <c r="J8" s="13">
        <f>' Marketing  pivot sheet'!I9</f>
        <v>0.10870967741935482</v>
      </c>
    </row>
    <row r="9" spans="2:10" x14ac:dyDescent="0.35">
      <c r="G9" s="7" t="s">
        <v>31</v>
      </c>
      <c r="H9" s="4">
        <f>' Marketing  pivot sheet'!G10</f>
        <v>294041.14000000007</v>
      </c>
      <c r="I9" s="8">
        <f>' Marketing  pivot sheet'!H10</f>
        <v>63</v>
      </c>
      <c r="J9" s="13">
        <f>' Marketing  pivot sheet'!I10</f>
        <v>0.11212121212121214</v>
      </c>
    </row>
    <row r="15" spans="2:10" x14ac:dyDescent="0.35">
      <c r="B15" t="s">
        <v>42</v>
      </c>
      <c r="C15" t="s">
        <v>43</v>
      </c>
    </row>
    <row r="16" spans="2:10" x14ac:dyDescent="0.35">
      <c r="B16" t="s">
        <v>47</v>
      </c>
      <c r="C16">
        <f>' Marketing  pivot sheet'!I17</f>
        <v>295</v>
      </c>
    </row>
    <row r="17" spans="2:3" x14ac:dyDescent="0.35">
      <c r="B17" t="s">
        <v>46</v>
      </c>
      <c r="C17">
        <f>' Marketing  pivot sheet'!H17</f>
        <v>1392</v>
      </c>
    </row>
    <row r="18" spans="2:3" x14ac:dyDescent="0.35">
      <c r="B18" t="s">
        <v>45</v>
      </c>
      <c r="C18">
        <f>' Marketing  pivot sheet'!G17</f>
        <v>3079</v>
      </c>
    </row>
    <row r="19" spans="2:3" x14ac:dyDescent="0.35">
      <c r="B19" t="s">
        <v>44</v>
      </c>
      <c r="C19">
        <f>' Marketing  pivot sheet'!F17</f>
        <v>8026</v>
      </c>
    </row>
  </sheetData>
  <sortState xmlns:xlrd2="http://schemas.microsoft.com/office/spreadsheetml/2017/richdata2" ref="B16:C19">
    <sortCondition ref="C16:C19"/>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D537-037B-4367-A198-0819FD729F57}">
  <dimension ref="B3:Y20"/>
  <sheetViews>
    <sheetView topLeftCell="N12" workbookViewId="0">
      <selection activeCell="U25" sqref="U25"/>
    </sheetView>
  </sheetViews>
  <sheetFormatPr defaultRowHeight="14.5" x14ac:dyDescent="0.35"/>
  <cols>
    <col min="2" max="2" width="21.6328125" bestFit="1" customWidth="1"/>
    <col min="6" max="6" width="12.36328125" bestFit="1" customWidth="1"/>
    <col min="7" max="7" width="18.7265625" bestFit="1" customWidth="1"/>
    <col min="8" max="8" width="16.36328125" bestFit="1" customWidth="1"/>
    <col min="9" max="9" width="16.54296875" bestFit="1" customWidth="1"/>
    <col min="12" max="12" width="12.36328125" bestFit="1" customWidth="1"/>
    <col min="13" max="14" width="21.7265625" bestFit="1" customWidth="1"/>
    <col min="15" max="15" width="12.36328125" bestFit="1" customWidth="1"/>
    <col min="16" max="16" width="18.7265625" bestFit="1" customWidth="1"/>
    <col min="22" max="22" width="11.90625" bestFit="1" customWidth="1"/>
    <col min="23" max="23" width="14.6328125" bestFit="1" customWidth="1"/>
    <col min="24" max="24" width="15.81640625" customWidth="1"/>
    <col min="25" max="25" width="14.6328125" customWidth="1"/>
    <col min="26" max="26" width="4.453125" bestFit="1" customWidth="1"/>
    <col min="27" max="27" width="5.453125" bestFit="1" customWidth="1"/>
    <col min="28" max="28" width="18.08984375" bestFit="1" customWidth="1"/>
    <col min="29" max="30" width="3.453125" bestFit="1" customWidth="1"/>
    <col min="31" max="31" width="4.453125" bestFit="1" customWidth="1"/>
    <col min="32" max="32" width="5.453125" bestFit="1" customWidth="1"/>
    <col min="33" max="33" width="23.54296875" bestFit="1" customWidth="1"/>
    <col min="34" max="34" width="22.90625" bestFit="1" customWidth="1"/>
  </cols>
  <sheetData>
    <row r="3" spans="2:25" x14ac:dyDescent="0.35">
      <c r="B3" t="s">
        <v>54</v>
      </c>
      <c r="F3" t="s">
        <v>39</v>
      </c>
      <c r="G3" t="s">
        <v>40</v>
      </c>
      <c r="H3" t="s">
        <v>41</v>
      </c>
      <c r="I3" t="s">
        <v>34</v>
      </c>
      <c r="L3" s="6" t="s">
        <v>36</v>
      </c>
      <c r="M3" t="s">
        <v>55</v>
      </c>
      <c r="O3" s="6" t="s">
        <v>36</v>
      </c>
      <c r="P3" t="s">
        <v>54</v>
      </c>
      <c r="V3" s="6" t="s">
        <v>81</v>
      </c>
      <c r="W3" t="s">
        <v>79</v>
      </c>
      <c r="X3" t="s">
        <v>35</v>
      </c>
      <c r="Y3" t="s">
        <v>80</v>
      </c>
    </row>
    <row r="4" spans="2:25" x14ac:dyDescent="0.35">
      <c r="B4">
        <v>318</v>
      </c>
      <c r="F4">
        <v>8026</v>
      </c>
      <c r="G4">
        <v>3079</v>
      </c>
      <c r="H4">
        <v>1392</v>
      </c>
      <c r="I4">
        <v>295</v>
      </c>
      <c r="L4" s="7" t="s">
        <v>58</v>
      </c>
      <c r="M4" s="15">
        <v>5.7256637168141564</v>
      </c>
      <c r="O4" s="7" t="s">
        <v>61</v>
      </c>
      <c r="P4">
        <v>59</v>
      </c>
      <c r="V4" s="7" t="s">
        <v>70</v>
      </c>
      <c r="W4">
        <v>14</v>
      </c>
      <c r="X4">
        <v>13</v>
      </c>
      <c r="Y4" s="15">
        <v>7.144285714285715</v>
      </c>
    </row>
    <row r="5" spans="2:25" x14ac:dyDescent="0.35">
      <c r="L5" s="7" t="s">
        <v>59</v>
      </c>
      <c r="M5" s="15">
        <v>5.3235051546391752</v>
      </c>
      <c r="O5" s="7" t="s">
        <v>62</v>
      </c>
      <c r="P5">
        <v>57</v>
      </c>
      <c r="V5" s="7" t="s">
        <v>69</v>
      </c>
      <c r="W5">
        <v>18</v>
      </c>
      <c r="X5">
        <v>15</v>
      </c>
      <c r="Y5" s="15">
        <v>6.9883333333333333</v>
      </c>
    </row>
    <row r="6" spans="2:25" x14ac:dyDescent="0.35">
      <c r="L6" s="7" t="s">
        <v>60</v>
      </c>
      <c r="M6" s="15">
        <v>5.3147222222222217</v>
      </c>
      <c r="O6" s="7" t="s">
        <v>63</v>
      </c>
      <c r="P6">
        <v>68</v>
      </c>
      <c r="V6" s="7" t="s">
        <v>68</v>
      </c>
      <c r="W6">
        <v>19</v>
      </c>
      <c r="X6">
        <v>17</v>
      </c>
      <c r="Y6" s="15">
        <v>6.2252631578947364</v>
      </c>
    </row>
    <row r="7" spans="2:25" x14ac:dyDescent="0.35">
      <c r="L7" s="7" t="s">
        <v>37</v>
      </c>
      <c r="M7" s="15">
        <v>5.4634276729559792</v>
      </c>
      <c r="O7" s="7" t="s">
        <v>64</v>
      </c>
      <c r="P7">
        <v>61</v>
      </c>
      <c r="V7" s="7" t="s">
        <v>76</v>
      </c>
      <c r="W7">
        <v>21</v>
      </c>
      <c r="X7">
        <v>21</v>
      </c>
      <c r="Y7" s="15">
        <v>6.7176190476190483</v>
      </c>
    </row>
    <row r="8" spans="2:25" x14ac:dyDescent="0.35">
      <c r="B8" t="s">
        <v>34</v>
      </c>
      <c r="F8" s="6" t="s">
        <v>36</v>
      </c>
      <c r="G8" t="s">
        <v>54</v>
      </c>
      <c r="O8" s="7" t="s">
        <v>65</v>
      </c>
      <c r="P8">
        <v>73</v>
      </c>
      <c r="V8" s="7" t="s">
        <v>73</v>
      </c>
      <c r="W8">
        <v>23</v>
      </c>
      <c r="X8">
        <v>22</v>
      </c>
      <c r="Y8" s="15">
        <v>9.129565217391308</v>
      </c>
    </row>
    <row r="9" spans="2:25" x14ac:dyDescent="0.35">
      <c r="B9">
        <v>295</v>
      </c>
      <c r="F9" s="7" t="s">
        <v>21</v>
      </c>
      <c r="G9">
        <v>187</v>
      </c>
      <c r="O9" s="7" t="s">
        <v>37</v>
      </c>
      <c r="P9">
        <v>318</v>
      </c>
      <c r="V9" s="7" t="s">
        <v>75</v>
      </c>
      <c r="W9">
        <v>24</v>
      </c>
      <c r="X9">
        <v>23</v>
      </c>
      <c r="Y9" s="15">
        <v>8.6549999999999994</v>
      </c>
    </row>
    <row r="10" spans="2:25" x14ac:dyDescent="0.35">
      <c r="F10" s="7" t="s">
        <v>27</v>
      </c>
      <c r="G10">
        <v>131</v>
      </c>
      <c r="V10" s="7" t="s">
        <v>77</v>
      </c>
      <c r="W10">
        <v>25</v>
      </c>
      <c r="X10">
        <v>25</v>
      </c>
      <c r="Y10" s="15">
        <v>8.1051999999999982</v>
      </c>
    </row>
    <row r="11" spans="2:25" x14ac:dyDescent="0.35">
      <c r="F11" s="7" t="s">
        <v>37</v>
      </c>
      <c r="G11">
        <v>318</v>
      </c>
      <c r="V11" s="7" t="s">
        <v>66</v>
      </c>
      <c r="W11">
        <v>27</v>
      </c>
      <c r="X11">
        <v>25</v>
      </c>
      <c r="Y11" s="15">
        <v>8.7496296296296308</v>
      </c>
    </row>
    <row r="12" spans="2:25" x14ac:dyDescent="0.35">
      <c r="B12" t="s">
        <v>55</v>
      </c>
      <c r="V12" s="7" t="s">
        <v>78</v>
      </c>
      <c r="W12">
        <v>28</v>
      </c>
      <c r="X12">
        <v>26</v>
      </c>
      <c r="Y12" s="15">
        <v>8.6199999999999992</v>
      </c>
    </row>
    <row r="13" spans="2:25" x14ac:dyDescent="0.35">
      <c r="B13" s="4">
        <v>5.4634276729559792</v>
      </c>
      <c r="V13" s="7" t="s">
        <v>67</v>
      </c>
      <c r="W13">
        <v>28</v>
      </c>
      <c r="X13">
        <v>24</v>
      </c>
      <c r="Y13" s="15">
        <v>7.7246428571428583</v>
      </c>
    </row>
    <row r="14" spans="2:25" x14ac:dyDescent="0.35">
      <c r="V14" s="7" t="s">
        <v>74</v>
      </c>
      <c r="W14">
        <v>28</v>
      </c>
      <c r="X14">
        <v>24</v>
      </c>
      <c r="Y14" s="15">
        <v>8.4324999999999992</v>
      </c>
    </row>
    <row r="15" spans="2:25" x14ac:dyDescent="0.35">
      <c r="V15" s="7" t="s">
        <v>71</v>
      </c>
      <c r="W15">
        <v>31</v>
      </c>
      <c r="X15">
        <v>29</v>
      </c>
      <c r="Y15" s="15">
        <v>7.2261290322580649</v>
      </c>
    </row>
    <row r="16" spans="2:25" x14ac:dyDescent="0.35">
      <c r="B16" s="15" t="s">
        <v>56</v>
      </c>
      <c r="V16" s="7" t="s">
        <v>72</v>
      </c>
      <c r="W16">
        <v>32</v>
      </c>
      <c r="X16">
        <v>31</v>
      </c>
      <c r="Y16" s="15">
        <v>7.9534375000000015</v>
      </c>
    </row>
    <row r="17" spans="2:2" x14ac:dyDescent="0.35">
      <c r="B17" s="15">
        <v>7.9056918238993621</v>
      </c>
    </row>
    <row r="19" spans="2:2" x14ac:dyDescent="0.35">
      <c r="B19" t="s">
        <v>57</v>
      </c>
    </row>
    <row r="20" spans="2:2" x14ac:dyDescent="0.35">
      <c r="B20" s="4">
        <v>2441.9371069182389</v>
      </c>
    </row>
  </sheetData>
  <conditionalFormatting sqref="Y3">
    <cfRule type="colorScale" priority="8">
      <colorScale>
        <cfvo type="min"/>
        <cfvo type="max"/>
        <color rgb="FF63BE7B"/>
        <color rgb="FFFCFCFF"/>
      </colorScale>
    </cfRule>
  </conditionalFormatting>
  <conditionalFormatting sqref="Y3">
    <cfRule type="colorScale" priority="3">
      <colorScale>
        <cfvo type="min"/>
        <cfvo type="percentile" val="50"/>
        <cfvo type="max"/>
        <color theme="9" tint="0.79998168889431442"/>
        <color theme="9" tint="0.59999389629810485"/>
        <color rgb="FF00B050"/>
      </colorScale>
    </cfRule>
    <cfRule type="colorScale" priority="4">
      <colorScale>
        <cfvo type="min"/>
        <cfvo type="max"/>
        <color theme="9" tint="0.79998168889431442"/>
        <color rgb="FF00B050"/>
      </colorScale>
    </cfRule>
    <cfRule type="colorScale" priority="6">
      <colorScale>
        <cfvo type="min"/>
        <cfvo type="max"/>
        <color rgb="FFFCFCFF"/>
        <color rgb="FF63BE7B"/>
      </colorScale>
    </cfRule>
  </conditionalFormatting>
  <conditionalFormatting sqref="X3">
    <cfRule type="dataBar" priority="5">
      <dataBar>
        <cfvo type="min"/>
        <cfvo type="max"/>
        <color theme="9" tint="0.79998168889431442"/>
      </dataBar>
      <extLst>
        <ext xmlns:x14="http://schemas.microsoft.com/office/spreadsheetml/2009/9/main" uri="{B025F937-C7B1-47D3-B67F-A62EFF666E3E}">
          <x14:id>{4E11372E-3BDF-4355-A669-C0B07002EF02}</x14:id>
        </ext>
      </extLst>
    </cfRule>
  </conditionalFormatting>
  <conditionalFormatting sqref="Y3">
    <cfRule type="colorScale" priority="2">
      <colorScale>
        <cfvo type="min"/>
        <cfvo type="percentile" val="50"/>
        <cfvo type="max"/>
        <color theme="9" tint="0.79998168889431442"/>
        <color theme="9" tint="0.59999389629810485"/>
        <color rgb="FF63BE7B"/>
      </colorScale>
    </cfRule>
  </conditionalFormatting>
  <conditionalFormatting pivot="1" sqref="X4:X16">
    <cfRule type="dataBar" priority="1">
      <dataBar>
        <cfvo type="min"/>
        <cfvo type="max"/>
        <color theme="9" tint="0.79998168889431442"/>
      </dataBar>
      <extLst>
        <ext xmlns:x14="http://schemas.microsoft.com/office/spreadsheetml/2009/9/main" uri="{B025F937-C7B1-47D3-B67F-A62EFF666E3E}">
          <x14:id>{C63D5B21-622A-4BF0-A2A6-C04B236F9459}</x14:id>
        </ext>
      </extLst>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x14:cfRule type="dataBar" id="{4E11372E-3BDF-4355-A669-C0B07002EF02}">
            <x14:dataBar minLength="0" maxLength="100" gradient="0">
              <x14:cfvo type="autoMin"/>
              <x14:cfvo type="autoMax"/>
              <x14:negativeFillColor rgb="FFFF0000"/>
              <x14:axisColor rgb="FF000000"/>
            </x14:dataBar>
          </x14:cfRule>
          <xm:sqref>X3</xm:sqref>
        </x14:conditionalFormatting>
        <x14:conditionalFormatting xmlns:xm="http://schemas.microsoft.com/office/excel/2006/main" pivot="1">
          <x14:cfRule type="dataBar" id="{C63D5B21-622A-4BF0-A2A6-C04B236F9459}">
            <x14:dataBar minLength="0" maxLength="100" gradient="0">
              <x14:cfvo type="autoMin"/>
              <x14:cfvo type="autoMax"/>
              <x14:negativeFillColor rgb="FFFF0000"/>
              <x14:axisColor rgb="FF000000"/>
            </x14:dataBar>
          </x14:cfRule>
          <xm:sqref>X4:X16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818C-B440-4B66-88D7-C63224704E44}">
  <dimension ref="B3:L6"/>
  <sheetViews>
    <sheetView workbookViewId="0">
      <selection activeCell="F28" sqref="F28"/>
    </sheetView>
  </sheetViews>
  <sheetFormatPr defaultRowHeight="14.5" x14ac:dyDescent="0.35"/>
  <cols>
    <col min="2" max="2" width="19.90625" customWidth="1"/>
    <col min="9" max="9" width="12.90625" customWidth="1"/>
    <col min="10" max="10" width="18.453125" customWidth="1"/>
  </cols>
  <sheetData>
    <row r="3" spans="2:12" x14ac:dyDescent="0.35">
      <c r="B3" t="s">
        <v>19</v>
      </c>
      <c r="C3">
        <f>'Customer PIVOT SHEET'!I4</f>
        <v>295</v>
      </c>
    </row>
    <row r="4" spans="2:12" x14ac:dyDescent="0.35">
      <c r="B4" t="s">
        <v>46</v>
      </c>
      <c r="C4">
        <f>'Customer PIVOT SHEET'!H4</f>
        <v>1392</v>
      </c>
      <c r="J4" s="4"/>
      <c r="K4" s="4"/>
      <c r="L4" s="4"/>
    </row>
    <row r="5" spans="2:12" x14ac:dyDescent="0.35">
      <c r="B5" t="s">
        <v>45</v>
      </c>
      <c r="C5">
        <f>'Customer PIVOT SHEET'!G4</f>
        <v>3079</v>
      </c>
      <c r="J5" s="4"/>
      <c r="K5" s="4"/>
      <c r="L5" s="4"/>
    </row>
    <row r="6" spans="2:12" x14ac:dyDescent="0.35">
      <c r="B6" t="s">
        <v>44</v>
      </c>
      <c r="C6">
        <f>'Customer PIVOT SHEET'!F4</f>
        <v>8026</v>
      </c>
      <c r="J6" s="4"/>
      <c r="K6" s="4"/>
      <c r="L6" s="4"/>
    </row>
  </sheetData>
  <sortState xmlns:xlrd2="http://schemas.microsoft.com/office/spreadsheetml/2017/richdata2" ref="B3:C6">
    <sortCondition ref="C3:C6"/>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364DB1-AB34-437F-8B4F-BE58DBCFA2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Customer analytics</vt:lpstr>
      <vt:lpstr>Marketing dataset</vt:lpstr>
      <vt:lpstr>digital_marketing_campaign_data</vt:lpstr>
      <vt:lpstr>MARKETING DASHBOARD SHEET</vt:lpstr>
      <vt:lpstr>CUSTOMER ANALYTICS DASHBOARD</vt:lpstr>
      <vt:lpstr> Marketing  pivot sheet</vt:lpstr>
      <vt:lpstr>copy sheet for marketing analyt</vt:lpstr>
      <vt:lpstr>Customer PIVOT SHEET</vt:lpstr>
      <vt:lpstr>COPY SHEET FOR CUSTOMER ANALYTI</vt:lpstr>
      <vt:lpstr>'CUSTOMER ANALYTICS DASHBOARD'!Print_Area</vt:lpstr>
      <vt:lpstr>'MARKETING DASHBOARD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debby tomisin</dc:creator>
  <cp:lastModifiedBy>debby tomisin</cp:lastModifiedBy>
  <dcterms:created xsi:type="dcterms:W3CDTF">2026-01-29T01:38:07Z</dcterms:created>
  <dcterms:modified xsi:type="dcterms:W3CDTF">2026-02-24T14:54:49Z</dcterms:modified>
</cp:coreProperties>
</file>